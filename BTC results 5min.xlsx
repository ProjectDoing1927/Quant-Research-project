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a3593c831a7a31/Documents/"/>
    </mc:Choice>
  </mc:AlternateContent>
  <xr:revisionPtr revIDLastSave="203" documentId="11_FADEE5A58D02ADFC729231FDE7F3C0A2961B19B3" xr6:coauthVersionLast="47" xr6:coauthVersionMax="47" xr10:uidLastSave="{4C87BAF2-8E64-46CB-B41D-B26E1B9BB402}"/>
  <bookViews>
    <workbookView xWindow="-120" yWindow="-120" windowWidth="38640" windowHeight="21120" firstSheet="4" activeTab="11" xr2:uid="{00000000-000D-0000-FFFF-FFFF00000000}"/>
  </bookViews>
  <sheets>
    <sheet name="Sheet1" sheetId="12" r:id="rId1"/>
    <sheet name="All Results" sheetId="1" r:id="rId2"/>
    <sheet name="Raw Strong Buy" sheetId="2" r:id="rId3"/>
    <sheet name="Raw Very Strong Buy" sheetId="3" r:id="rId4"/>
    <sheet name="Raw Strong Sell" sheetId="4" r:id="rId5"/>
    <sheet name="Raw Very Strong Sell" sheetId="5" r:id="rId6"/>
    <sheet name="Normalised Strong Buy" sheetId="6" r:id="rId7"/>
    <sheet name="Normalised Strong Sell" sheetId="7" r:id="rId8"/>
    <sheet name="Normalised Very Buy" sheetId="8" r:id="rId9"/>
    <sheet name="Normalised Very Sell" sheetId="9" r:id="rId10"/>
    <sheet name="Statistics" sheetId="10" r:id="rId11"/>
    <sheet name="Economic" sheetId="13" r:id="rId12"/>
    <sheet name="Correlations" sheetId="11" r:id="rId13"/>
  </sheets>
  <calcPr calcId="191029"/>
  <pivotCaches>
    <pivotCache cacheId="3" r:id="rId14"/>
    <pivotCache cacheId="6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<sst xmlns="http://schemas.openxmlformats.org/spreadsheetml/2006/main" count="330" uniqueCount="42">
  <si>
    <t>condition</t>
  </si>
  <si>
    <t>minutes forward</t>
  </si>
  <si>
    <t>events</t>
  </si>
  <si>
    <t>average movement(%)</t>
  </si>
  <si>
    <t>median movement(%)</t>
  </si>
  <si>
    <t>standard deviation (%)</t>
  </si>
  <si>
    <t>positive movements</t>
  </si>
  <si>
    <t>Positive movements (%)</t>
  </si>
  <si>
    <t>strong buy delta</t>
  </si>
  <si>
    <t>very strong buy delta</t>
  </si>
  <si>
    <t>strong sell delta</t>
  </si>
  <si>
    <t>very strong sell delta</t>
  </si>
  <si>
    <t>strong normalised buy delta</t>
  </si>
  <si>
    <t>strong normalised sell delta</t>
  </si>
  <si>
    <t>very strong normalised buy delta</t>
  </si>
  <si>
    <t>very strong normalised sell delta</t>
  </si>
  <si>
    <t>Condition</t>
  </si>
  <si>
    <t>Minutes Forward</t>
  </si>
  <si>
    <t>Estimate (%)</t>
  </si>
  <si>
    <t>Direction</t>
  </si>
  <si>
    <t>Adjusted p-value</t>
  </si>
  <si>
    <t>Significant at 5%</t>
  </si>
  <si>
    <t>Significant after adjustment</t>
  </si>
  <si>
    <t>Reversal</t>
  </si>
  <si>
    <t>Continuation</t>
  </si>
  <si>
    <t>Pearson Correlation</t>
  </si>
  <si>
    <t>Spearman Correlation</t>
  </si>
  <si>
    <t>delta</t>
  </si>
  <si>
    <t>normalised_delta</t>
  </si>
  <si>
    <t>Column Labels</t>
  </si>
  <si>
    <t>Sum of standard deviation (%)</t>
  </si>
  <si>
    <t>Position</t>
  </si>
  <si>
    <t>trades</t>
  </si>
  <si>
    <t>Gross return (%)</t>
  </si>
  <si>
    <t>Net return (%)</t>
  </si>
  <si>
    <t>short</t>
  </si>
  <si>
    <t>long</t>
  </si>
  <si>
    <t>Profitable trades after fees</t>
  </si>
  <si>
    <t>Row Labels</t>
  </si>
  <si>
    <t>Sum of median movement(%)</t>
  </si>
  <si>
    <t>Sum of average movement(%)</t>
  </si>
  <si>
    <t>Sum of Positive movements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</si>
</sst>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9" fontId="0" fillId="3" borderId="4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11"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2" formatCode="0.00"/>
    </dxf>
    <dxf>
      <numFmt numFmtId="2" formatCode="0.00"/>
    </dxf>
    <dxf>
      <numFmt numFmtId="164" formatCode="0.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[BTC_delta_results_5min.xlsx]Sheet1!PivotTable1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Sheet1!$B$5:$B$11</c:f>
              <c:numCache>
                <c:formatCode>0.000000</c:formatCode>
                <c:ptCount val="7"/>
                <c:pt idx="0">
                  <c:v>-5.1971934235820524E-3</c:v>
                </c:pt>
                <c:pt idx="1">
                  <c:v>-7.3140473267019066E-3</c:v>
                </c:pt>
                <c:pt idx="2">
                  <c:v>-1.3428775248083131E-2</c:v>
                </c:pt>
                <c:pt idx="3">
                  <c:v>-6.2380181544003759E-3</c:v>
                </c:pt>
                <c:pt idx="4">
                  <c:v>-1.7761822306337871E-3</c:v>
                </c:pt>
                <c:pt idx="5">
                  <c:v>6.0301417344775614E-3</c:v>
                </c:pt>
                <c:pt idx="6">
                  <c:v>-0.1468398959288052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6-4924-8F8D-C41A8E4FD050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Sheet1!$C$5:$C$11</c:f>
              <c:numCache>
                <c:formatCode>0.000000</c:formatCode>
                <c:ptCount val="7"/>
                <c:pt idx="0">
                  <c:v>5.5937250852081347E-3</c:v>
                </c:pt>
                <c:pt idx="1">
                  <c:v>4.6036286554974458E-4</c:v>
                </c:pt>
                <c:pt idx="2">
                  <c:v>5.8412737981528564E-3</c:v>
                </c:pt>
                <c:pt idx="3">
                  <c:v>8.8608736110272601E-3</c:v>
                </c:pt>
                <c:pt idx="4">
                  <c:v>9.4427333848067594E-3</c:v>
                </c:pt>
                <c:pt idx="5">
                  <c:v>-2.0401701703102279E-2</c:v>
                </c:pt>
                <c:pt idx="6">
                  <c:v>-0.14554770011150869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6-4924-8F8D-C41A8E4FD050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Sheet1!$D$5:$D$11</c:f>
              <c:numCache>
                <c:formatCode>0.000000</c:formatCode>
                <c:ptCount val="7"/>
                <c:pt idx="0">
                  <c:v>-1.4801324626297329E-2</c:v>
                </c:pt>
                <c:pt idx="1">
                  <c:v>-1.0985052866387211E-2</c:v>
                </c:pt>
                <c:pt idx="2">
                  <c:v>-2.281163763997452E-2</c:v>
                </c:pt>
                <c:pt idx="3">
                  <c:v>-2.076641333365339E-3</c:v>
                </c:pt>
                <c:pt idx="4">
                  <c:v>-1.024810673085152E-4</c:v>
                </c:pt>
                <c:pt idx="5">
                  <c:v>-8.5306630909335931E-3</c:v>
                </c:pt>
                <c:pt idx="6">
                  <c:v>-0.10152635218663229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96-4924-8F8D-C41A8E4FD050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Sheet1!$A$5:$A$11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Sheet1!$E$5:$E$11</c:f>
              <c:numCache>
                <c:formatCode>0.000000</c:formatCode>
                <c:ptCount val="7"/>
                <c:pt idx="0">
                  <c:v>1.789442213720091E-2</c:v>
                </c:pt>
                <c:pt idx="1">
                  <c:v>1.7609506827897171E-2</c:v>
                </c:pt>
                <c:pt idx="2">
                  <c:v>2.5537996268451491E-2</c:v>
                </c:pt>
                <c:pt idx="3">
                  <c:v>5.382784732985809E-2</c:v>
                </c:pt>
                <c:pt idx="4">
                  <c:v>6.9411689254838899E-2</c:v>
                </c:pt>
                <c:pt idx="5">
                  <c:v>3.016114081331743E-2</c:v>
                </c:pt>
                <c:pt idx="6">
                  <c:v>-2.376398125293363E-3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96-4924-8F8D-C41A8E4FD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577744"/>
        <c:axId val="1762506000"/>
      </c:lineChart>
      <c:catAx>
        <c:axId val="17735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506000"/>
        <c:crosses val="autoZero"/>
        <c:auto val="1"/>
        <c:lblAlgn val="ctr"/>
        <c:lblOffset val="100"/>
        <c:noMultiLvlLbl val="0"/>
      </c:catAx>
      <c:valAx>
        <c:axId val="17625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7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[BTC_delta_results_5min.xlsx]Sheet1!PivotTable6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Sheet1!$B$14:$B$15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Sheet1!$A$16:$A$22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Sheet1!$B$16:$B$22</c:f>
              <c:numCache>
                <c:formatCode>0.000000</c:formatCode>
                <c:ptCount val="7"/>
                <c:pt idx="0">
                  <c:v>-6.645914057090696E-3</c:v>
                </c:pt>
                <c:pt idx="1">
                  <c:v>-1.5324300318397819E-2</c:v>
                </c:pt>
                <c:pt idx="2">
                  <c:v>-2.0661233836266609E-2</c:v>
                </c:pt>
                <c:pt idx="3">
                  <c:v>-2.29697535005291E-2</c:v>
                </c:pt>
                <c:pt idx="4">
                  <c:v>-2.0752429368148251E-2</c:v>
                </c:pt>
                <c:pt idx="5">
                  <c:v>-1.1711207339792921E-2</c:v>
                </c:pt>
                <c:pt idx="6">
                  <c:v>-6.4244983472727668E-2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F-44ED-B45F-1F32B1663FA6}"/>
            </c:ext>
          </c:extLst>
        </c:ser>
        <c:ser>
          <c:idx val="1"/>
          <c:order val="1"/>
          <c:tx>
            <c:strRef>
              <c:f>Sheet1!$C$14:$C$15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Sheet1!$A$16:$A$22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Sheet1!$C$16:$C$22</c:f>
              <c:numCache>
                <c:formatCode>0.000000</c:formatCode>
                <c:ptCount val="7"/>
                <c:pt idx="0">
                  <c:v>6.0702206751805932E-3</c:v>
                </c:pt>
                <c:pt idx="1">
                  <c:v>7.5032704472288714E-3</c:v>
                </c:pt>
                <c:pt idx="2">
                  <c:v>2.2208500808429399E-2</c:v>
                </c:pt>
                <c:pt idx="3">
                  <c:v>2.313304296966967E-2</c:v>
                </c:pt>
                <c:pt idx="4">
                  <c:v>2.107530233586008E-2</c:v>
                </c:pt>
                <c:pt idx="5">
                  <c:v>3.2803792427471563E-2</c:v>
                </c:pt>
                <c:pt idx="6">
                  <c:v>-5.7303495650229408E-2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F-44ED-B45F-1F32B1663FA6}"/>
            </c:ext>
          </c:extLst>
        </c:ser>
        <c:ser>
          <c:idx val="2"/>
          <c:order val="2"/>
          <c:tx>
            <c:strRef>
              <c:f>Sheet1!$D$14:$D$15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Sheet1!$A$16:$A$22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Sheet1!$D$16:$D$22</c:f>
              <c:numCache>
                <c:formatCode>0.000000</c:formatCode>
                <c:ptCount val="7"/>
                <c:pt idx="0">
                  <c:v>-1.295613106228055E-2</c:v>
                </c:pt>
                <c:pt idx="1">
                  <c:v>-2.7074998209497551E-2</c:v>
                </c:pt>
                <c:pt idx="2">
                  <c:v>-4.8937262348625048E-2</c:v>
                </c:pt>
                <c:pt idx="3">
                  <c:v>-4.052167389598238E-2</c:v>
                </c:pt>
                <c:pt idx="4">
                  <c:v>-5.0291167535937431E-2</c:v>
                </c:pt>
                <c:pt idx="5">
                  <c:v>-8.0361155628777547E-2</c:v>
                </c:pt>
                <c:pt idx="6">
                  <c:v>-0.18945179695891709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FF-44ED-B45F-1F32B1663FA6}"/>
            </c:ext>
          </c:extLst>
        </c:ser>
        <c:ser>
          <c:idx val="3"/>
          <c:order val="3"/>
          <c:tx>
            <c:strRef>
              <c:f>Sheet1!$E$14:$E$15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Sheet1!$A$16:$A$22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Sheet1!$E$16:$E$22</c:f>
              <c:numCache>
                <c:formatCode>0.000000</c:formatCode>
                <c:ptCount val="7"/>
                <c:pt idx="0">
                  <c:v>1.543175599668656E-2</c:v>
                </c:pt>
                <c:pt idx="1">
                  <c:v>2.696350465407615E-2</c:v>
                </c:pt>
                <c:pt idx="2">
                  <c:v>4.212956330807982E-2</c:v>
                </c:pt>
                <c:pt idx="3">
                  <c:v>4.5312503592953579E-2</c:v>
                </c:pt>
                <c:pt idx="4">
                  <c:v>7.6031666023756994E-2</c:v>
                </c:pt>
                <c:pt idx="5">
                  <c:v>7.2242244136355716E-2</c:v>
                </c:pt>
                <c:pt idx="6">
                  <c:v>3.3725282433905157E-2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FF-44ED-B45F-1F32B1663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926576"/>
        <c:axId val="1001311824"/>
      </c:lineChart>
      <c:catAx>
        <c:axId val="9909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11824"/>
        <c:crosses val="autoZero"/>
        <c:auto val="1"/>
        <c:lblAlgn val="ctr"/>
        <c:lblOffset val="100"/>
        <c:noMultiLvlLbl val="0"/>
      </c:catAx>
      <c:valAx>
        <c:axId val="10013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[BTC_delta_results_5min.xlsx]Sheet1!PivotTable7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Sheet1!$B$25:$B$26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Sheet1!$A$27:$A$33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Sheet1!$B$27:$B$33</c:f>
              <c:numCache>
                <c:formatCode>0.00</c:formatCode>
                <c:ptCount val="7"/>
                <c:pt idx="0">
                  <c:v>46.044303797468359</c:v>
                </c:pt>
                <c:pt idx="1">
                  <c:v>45.516877637130797</c:v>
                </c:pt>
                <c:pt idx="2">
                  <c:v>45.88607594936709</c:v>
                </c:pt>
                <c:pt idx="3">
                  <c:v>46.958509142053437</c:v>
                </c:pt>
                <c:pt idx="4">
                  <c:v>47.819971870604782</c:v>
                </c:pt>
                <c:pt idx="5">
                  <c:v>49.129593810444867</c:v>
                </c:pt>
                <c:pt idx="6">
                  <c:v>48.60719322990127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E-4721-A5AA-87183890D62F}"/>
            </c:ext>
          </c:extLst>
        </c:ser>
        <c:ser>
          <c:idx val="1"/>
          <c:order val="1"/>
          <c:tx>
            <c:strRef>
              <c:f>Sheet1!$C$25:$C$26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Sheet1!$A$27:$A$33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Sheet1!$C$27:$C$33</c:f>
              <c:numCache>
                <c:formatCode>0.00</c:formatCode>
                <c:ptCount val="7"/>
                <c:pt idx="0">
                  <c:v>53.525584666783899</c:v>
                </c:pt>
                <c:pt idx="1">
                  <c:v>52.136451556180759</c:v>
                </c:pt>
                <c:pt idx="2">
                  <c:v>54.070687532969927</c:v>
                </c:pt>
                <c:pt idx="3">
                  <c:v>52.672292545710263</c:v>
                </c:pt>
                <c:pt idx="4">
                  <c:v>52.144866385372723</c:v>
                </c:pt>
                <c:pt idx="5">
                  <c:v>51.898734177215189</c:v>
                </c:pt>
                <c:pt idx="6">
                  <c:v>48.517472643840463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E-4721-A5AA-87183890D62F}"/>
            </c:ext>
          </c:extLst>
        </c:ser>
        <c:ser>
          <c:idx val="2"/>
          <c:order val="2"/>
          <c:tx>
            <c:strRef>
              <c:f>Sheet1!$D$25:$D$26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Sheet1!$A$27:$A$33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Sheet1!$D$27:$D$33</c:f>
              <c:numCache>
                <c:formatCode>0.00</c:formatCode>
                <c:ptCount val="7"/>
                <c:pt idx="0">
                  <c:v>44.903339191564143</c:v>
                </c:pt>
                <c:pt idx="1">
                  <c:v>44.5518453427065</c:v>
                </c:pt>
                <c:pt idx="2">
                  <c:v>42.794376098418283</c:v>
                </c:pt>
                <c:pt idx="3">
                  <c:v>45.079086115992972</c:v>
                </c:pt>
                <c:pt idx="4">
                  <c:v>46.309314586994716</c:v>
                </c:pt>
                <c:pt idx="5">
                  <c:v>46.572934973637963</c:v>
                </c:pt>
                <c:pt idx="6">
                  <c:v>46.701846965699197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E-4721-A5AA-87183890D62F}"/>
            </c:ext>
          </c:extLst>
        </c:ser>
        <c:ser>
          <c:idx val="3"/>
          <c:order val="3"/>
          <c:tx>
            <c:strRef>
              <c:f>Sheet1!$E$25:$E$26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Sheet1!$A$27:$A$33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Sheet1!$E$27:$E$33</c:f>
              <c:numCache>
                <c:formatCode>0.00</c:formatCode>
                <c:ptCount val="7"/>
                <c:pt idx="0">
                  <c:v>55.975395430579972</c:v>
                </c:pt>
                <c:pt idx="1">
                  <c:v>55.711775043936733</c:v>
                </c:pt>
                <c:pt idx="2">
                  <c:v>58.347978910369072</c:v>
                </c:pt>
                <c:pt idx="3">
                  <c:v>55.975395430579972</c:v>
                </c:pt>
                <c:pt idx="4">
                  <c:v>56.239015817223198</c:v>
                </c:pt>
                <c:pt idx="5">
                  <c:v>53.602811950790873</c:v>
                </c:pt>
                <c:pt idx="6">
                  <c:v>50.661959399823473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1E-4721-A5AA-87183890D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03023"/>
        <c:axId val="1001344464"/>
      </c:lineChart>
      <c:catAx>
        <c:axId val="15510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4464"/>
        <c:crosses val="autoZero"/>
        <c:auto val="1"/>
        <c:lblAlgn val="ctr"/>
        <c:lblOffset val="100"/>
        <c:noMultiLvlLbl val="0"/>
      </c:catAx>
      <c:valAx>
        <c:axId val="10013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[BTC_delta_results_5min.xlsx]Sheet1!PivotTable10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Sheet1!$B$36:$B$37</c:f>
              <c:strCache>
                <c:ptCount val="1"/>
                <c:pt idx="0">
                  <c:v>strong buy delta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Sheet1!$A$38:$A$44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Sheet1!$B$38:$B$44</c:f>
              <c:numCache>
                <c:formatCode>0.00000</c:formatCode>
                <c:ptCount val="7"/>
                <c:pt idx="0">
                  <c:v>0.1071770195612938</c:v>
                </c:pt>
                <c:pt idx="1">
                  <c:v>0.2040275219223025</c:v>
                </c:pt>
                <c:pt idx="2">
                  <c:v>0.36589508835858298</c:v>
                </c:pt>
                <c:pt idx="3">
                  <c:v>0.46012954138353018</c:v>
                </c:pt>
                <c:pt idx="4">
                  <c:v>0.63671855610245431</c:v>
                </c:pt>
                <c:pt idx="5">
                  <c:v>1.1095643974092191</c:v>
                </c:pt>
                <c:pt idx="6">
                  <c:v>2.4506222581196808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4-47A3-B0DE-E69CD3ABBB65}"/>
            </c:ext>
          </c:extLst>
        </c:ser>
        <c:ser>
          <c:idx val="1"/>
          <c:order val="1"/>
          <c:tx>
            <c:strRef>
              <c:f>Sheet1!$C$36:$C$37</c:f>
              <c:strCache>
                <c:ptCount val="1"/>
                <c:pt idx="0">
                  <c:v>strong sell delta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Sheet1!$A$38:$A$44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Sheet1!$C$38:$C$44</c:f>
              <c:numCache>
                <c:formatCode>0.00000</c:formatCode>
                <c:ptCount val="7"/>
                <c:pt idx="0">
                  <c:v>0.1128335545359531</c:v>
                </c:pt>
                <c:pt idx="1">
                  <c:v>0.25556256259770721</c:v>
                </c:pt>
                <c:pt idx="2">
                  <c:v>0.39589709728564521</c:v>
                </c:pt>
                <c:pt idx="3">
                  <c:v>0.52569048994599255</c:v>
                </c:pt>
                <c:pt idx="4">
                  <c:v>0.67547255178547616</c:v>
                </c:pt>
                <c:pt idx="5">
                  <c:v>1.164905290745393</c:v>
                </c:pt>
                <c:pt idx="6">
                  <c:v>2.493095033516179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4-47A3-B0DE-E69CD3ABBB65}"/>
            </c:ext>
          </c:extLst>
        </c:ser>
        <c:ser>
          <c:idx val="2"/>
          <c:order val="2"/>
          <c:tx>
            <c:strRef>
              <c:f>Sheet1!$D$36:$D$37</c:f>
              <c:strCache>
                <c:ptCount val="1"/>
                <c:pt idx="0">
                  <c:v>very strong buy delta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Sheet1!$A$38:$A$44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Sheet1!$D$38:$D$44</c:f>
              <c:numCache>
                <c:formatCode>0.00000</c:formatCode>
                <c:ptCount val="7"/>
                <c:pt idx="0">
                  <c:v>0.14763952441811859</c:v>
                </c:pt>
                <c:pt idx="1">
                  <c:v>0.25913388083859079</c:v>
                </c:pt>
                <c:pt idx="2">
                  <c:v>0.42046094144859758</c:v>
                </c:pt>
                <c:pt idx="3">
                  <c:v>0.57360770621031965</c:v>
                </c:pt>
                <c:pt idx="4">
                  <c:v>0.77584318933075025</c:v>
                </c:pt>
                <c:pt idx="5">
                  <c:v>1.2514613170165301</c:v>
                </c:pt>
                <c:pt idx="6">
                  <c:v>2.514356431778431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4-47A3-B0DE-E69CD3ABBB65}"/>
            </c:ext>
          </c:extLst>
        </c:ser>
        <c:ser>
          <c:idx val="3"/>
          <c:order val="3"/>
          <c:tx>
            <c:strRef>
              <c:f>Sheet1!$E$36:$E$37</c:f>
              <c:strCache>
                <c:ptCount val="1"/>
                <c:pt idx="0">
                  <c:v>very strong sell delta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Sheet1!$A$38:$A$44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240</c:v>
                </c:pt>
                <c:pt idx="6">
                  <c:v>1440</c:v>
                </c:pt>
              </c:strCache>
            </c:strRef>
          </c:cat>
          <c:val>
            <c:numRef>
              <c:f>Sheet1!$E$38:$E$44</c:f>
              <c:numCache>
                <c:formatCode>0.00000</c:formatCode>
                <c:ptCount val="7"/>
                <c:pt idx="0">
                  <c:v>0.16034703139041279</c:v>
                </c:pt>
                <c:pt idx="1">
                  <c:v>0.40494275232610061</c:v>
                </c:pt>
                <c:pt idx="2">
                  <c:v>0.57889415327711968</c:v>
                </c:pt>
                <c:pt idx="3">
                  <c:v>0.7407981004174905</c:v>
                </c:pt>
                <c:pt idx="4">
                  <c:v>0.88424589039793711</c:v>
                </c:pt>
                <c:pt idx="5">
                  <c:v>1.4060625329756009</c:v>
                </c:pt>
                <c:pt idx="6">
                  <c:v>2.8063748231797079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14-47A3-B0DE-E69CD3AB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936064"/>
        <c:axId val="1392083599"/>
      </c:lineChart>
      <c:catAx>
        <c:axId val="16049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83599"/>
        <c:crosses val="autoZero"/>
        <c:auto val="1"/>
        <c:lblAlgn val="ctr"/>
        <c:lblOffset val="100"/>
        <c:noMultiLvlLbl val="0"/>
      </c:catAx>
      <c:valAx>
        <c:axId val="13920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1876425</xdr:colOff>
      <xdr:row>1</xdr:row>
      <xdr:rowOff>185737</xdr:rowOff>
    </xdr:from>
    <xdr:to>
      <xdr:col>10</xdr:col>
      <xdr:colOff>38100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06FBA-DD3E-09BB-0254-781AD7FF0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1809750</xdr:colOff>
      <xdr:row>12</xdr:row>
      <xdr:rowOff>23812</xdr:rowOff>
    </xdr:from>
    <xdr:to>
      <xdr:col>9</xdr:col>
      <xdr:colOff>676275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70765D-8FD9-D92E-B06B-3ADCEC10C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1771650</xdr:colOff>
      <xdr:row>24</xdr:row>
      <xdr:rowOff>180974</xdr:rowOff>
    </xdr:from>
    <xdr:to>
      <xdr:col>9</xdr:col>
      <xdr:colOff>295275</xdr:colOff>
      <xdr:row>35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82A8B-5BCB-0ED1-5D90-4880BB5E5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1619250</xdr:colOff>
      <xdr:row>35</xdr:row>
      <xdr:rowOff>100012</xdr:rowOff>
    </xdr:from>
    <xdr:to>
      <xdr:col>9</xdr:col>
      <xdr:colOff>161925</xdr:colOff>
      <xdr:row>48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88763-8824-FA53-4D02-0F7D6DAAD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c leach" refreshedDate="46255.844492476848" createdVersion="8" refreshedVersion="8" minRefreshableVersion="3" recordCount="56" xr:uid="{6EBC8D1A-0A5F-45F3-A3D9-5C767CAAA906}">
  <cacheSource type="worksheet">
    <worksheetSource ref="A1:H57" sheet="All Results"/>
  </cacheSource>
  <cacheFields count="8">
    <cacheField name="condition" numFmtId="0">
      <sharedItems count="8">
        <s v="strong buy delta"/>
        <s v="very strong buy delta"/>
        <s v="strong sell delta"/>
        <s v="very strong sell delta"/>
        <s v="strong normalised buy delta"/>
        <s v="strong normalised sell delta"/>
        <s v="very strong normalised buy delta"/>
        <s v="very strong normalised sell delta"/>
      </sharedItems>
    </cacheField>
    <cacheField name="minutes forward" numFmtId="0">
      <sharedItems containsSemiMixedTypes="0" containsString="0" containsNumber="1" containsInteger="1" minValue="1" maxValue="1440" count="7">
        <n v="1"/>
        <n v="5"/>
        <n v="15"/>
        <n v="30"/>
        <n v="60"/>
        <n v="240"/>
        <n v="1440"/>
      </sharedItems>
    </cacheField>
    <cacheField name="events" numFmtId="0">
      <sharedItems containsSemiMixedTypes="0" containsString="0" containsNumber="1" containsInteger="1" minValue="1133" maxValue="5688"/>
    </cacheField>
    <cacheField name="average movement(%)" numFmtId="0">
      <sharedItems containsSemiMixedTypes="0" containsString="0" containsNumber="1" minValue="-0.1468398959288052" maxValue="8.4113581823297132E-2"/>
    </cacheField>
    <cacheField name="median movement(%)" numFmtId="0">
      <sharedItems containsSemiMixedTypes="0" containsString="0" containsNumber="1" minValue="-0.18945179695891709" maxValue="0.1861122571553353"/>
    </cacheField>
    <cacheField name="standard deviation (%)" numFmtId="0">
      <sharedItems containsSemiMixedTypes="0" containsString="0" containsNumber="1" minValue="3.9846271327449848E-2" maxValue="2.8063748231797079"/>
    </cacheField>
    <cacheField name="positive movements" numFmtId="0">
      <sharedItems containsSemiMixedTypes="0" containsString="0" containsNumber="1" containsInteger="1" minValue="487" maxValue="3075"/>
    </cacheField>
    <cacheField name="Positive movements (%)" numFmtId="0">
      <sharedItems containsSemiMixedTypes="0" containsString="0" containsNumber="1" minValue="42.794376098418283" maxValue="58.7147887323943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c leach" refreshedDate="46256.990101157404" createdVersion="8" refreshedVersion="8" minRefreshableVersion="3" recordCount="56" xr:uid="{9858F2E1-B0AF-466A-96F6-11E4D26C7F49}">
  <cacheSource type="worksheet">
    <worksheetSource name="Table4"/>
  </cacheSource>
  <cacheFields count="8">
    <cacheField name="condition" numFmtId="0">
      <sharedItems count="8">
        <s v="strong buy delta"/>
        <s v="very strong buy delta"/>
        <s v="strong sell delta"/>
        <s v="very strong sell delta"/>
        <s v="strong normalised buy delta"/>
        <s v="strong normalised sell delta"/>
        <s v="very strong normalised buy delta"/>
        <s v="very strong normalised sell delta"/>
      </sharedItems>
    </cacheField>
    <cacheField name="minutes forward" numFmtId="0">
      <sharedItems containsSemiMixedTypes="0" containsString="0" containsNumber="1" containsInteger="1" minValue="1" maxValue="1440" count="7">
        <n v="1"/>
        <n v="5"/>
        <n v="15"/>
        <n v="30"/>
        <n v="60"/>
        <n v="240"/>
        <n v="1440"/>
      </sharedItems>
    </cacheField>
    <cacheField name="events" numFmtId="0">
      <sharedItems containsSemiMixedTypes="0" containsString="0" containsNumber="1" containsInteger="1" minValue="1133" maxValue="5688"/>
    </cacheField>
    <cacheField name="average movement(%)" numFmtId="165">
      <sharedItems containsSemiMixedTypes="0" containsString="0" containsNumber="1" minValue="-0.1468398959288052" maxValue="8.4113581823297132E-2"/>
    </cacheField>
    <cacheField name="median movement(%)" numFmtId="165">
      <sharedItems containsSemiMixedTypes="0" containsString="0" containsNumber="1" minValue="-0.18945179695891709" maxValue="0.1861122571553353"/>
    </cacheField>
    <cacheField name="standard deviation (%)" numFmtId="164">
      <sharedItems containsSemiMixedTypes="0" containsString="0" containsNumber="1" minValue="3.9846271327449848E-2" maxValue="2.8063748231797079"/>
    </cacheField>
    <cacheField name="positive movements" numFmtId="0">
      <sharedItems containsSemiMixedTypes="0" containsString="0" containsNumber="1" containsInteger="1" minValue="487" maxValue="3075"/>
    </cacheField>
    <cacheField name="Positive movements (%)" numFmtId="2">
      <sharedItems containsSemiMixedTypes="0" containsString="0" containsNumber="1" minValue="42.794376098418283" maxValue="58.7147887323943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5688"/>
    <n v="-5.1971934235820524E-3"/>
    <n v="-6.645914057090696E-3"/>
    <n v="0.1071770195612938"/>
    <n v="2619"/>
    <n v="46.044303797468359"/>
  </r>
  <r>
    <x v="0"/>
    <x v="1"/>
    <n v="5688"/>
    <n v="-7.3140473267019066E-3"/>
    <n v="-1.5324300318397819E-2"/>
    <n v="0.2040275219223025"/>
    <n v="2589"/>
    <n v="45.516877637130797"/>
  </r>
  <r>
    <x v="0"/>
    <x v="2"/>
    <n v="5688"/>
    <n v="-1.3428775248083131E-2"/>
    <n v="-2.0661233836266609E-2"/>
    <n v="0.36589508835858298"/>
    <n v="2610"/>
    <n v="45.88607594936709"/>
  </r>
  <r>
    <x v="0"/>
    <x v="3"/>
    <n v="5688"/>
    <n v="-6.2380181544003759E-3"/>
    <n v="-2.29697535005291E-2"/>
    <n v="0.46012954138353018"/>
    <n v="2671"/>
    <n v="46.958509142053437"/>
  </r>
  <r>
    <x v="0"/>
    <x v="4"/>
    <n v="5688"/>
    <n v="-1.7761822306337871E-3"/>
    <n v="-2.0752429368148251E-2"/>
    <n v="0.63671855610245431"/>
    <n v="2720"/>
    <n v="47.819971870604782"/>
  </r>
  <r>
    <x v="0"/>
    <x v="5"/>
    <n v="5687"/>
    <n v="6.0301417344775614E-3"/>
    <n v="-1.1711207339792921E-2"/>
    <n v="1.1095643974092191"/>
    <n v="2794"/>
    <n v="49.129593810444867"/>
  </r>
  <r>
    <x v="0"/>
    <x v="6"/>
    <n v="5672"/>
    <n v="-0.1468398959288052"/>
    <n v="-6.4244983472727668E-2"/>
    <n v="2.4506222581196808"/>
    <n v="2757"/>
    <n v="48.60719322990127"/>
  </r>
  <r>
    <x v="1"/>
    <x v="0"/>
    <n v="1138"/>
    <n v="-1.4801324626297329E-2"/>
    <n v="-1.295613106228055E-2"/>
    <n v="0.14763952441811859"/>
    <n v="511"/>
    <n v="44.903339191564143"/>
  </r>
  <r>
    <x v="1"/>
    <x v="1"/>
    <n v="1138"/>
    <n v="-1.0985052866387211E-2"/>
    <n v="-2.7074998209497551E-2"/>
    <n v="0.25913388083859079"/>
    <n v="507"/>
    <n v="44.5518453427065"/>
  </r>
  <r>
    <x v="1"/>
    <x v="2"/>
    <n v="1138"/>
    <n v="-2.281163763997452E-2"/>
    <n v="-4.8937262348625048E-2"/>
    <n v="0.42046094144859758"/>
    <n v="487"/>
    <n v="42.794376098418283"/>
  </r>
  <r>
    <x v="1"/>
    <x v="3"/>
    <n v="1138"/>
    <n v="-2.076641333365339E-3"/>
    <n v="-4.052167389598238E-2"/>
    <n v="0.57360770621031965"/>
    <n v="513"/>
    <n v="45.079086115992972"/>
  </r>
  <r>
    <x v="1"/>
    <x v="4"/>
    <n v="1138"/>
    <n v="-1.024810673085152E-4"/>
    <n v="-5.0291167535937431E-2"/>
    <n v="0.77584318933075025"/>
    <n v="527"/>
    <n v="46.309314586994716"/>
  </r>
  <r>
    <x v="1"/>
    <x v="5"/>
    <n v="1138"/>
    <n v="-8.5306630909335931E-3"/>
    <n v="-8.0361155628777547E-2"/>
    <n v="1.2514613170165301"/>
    <n v="530"/>
    <n v="46.572934973637963"/>
  </r>
  <r>
    <x v="1"/>
    <x v="6"/>
    <n v="1137"/>
    <n v="-0.10152635218663229"/>
    <n v="-0.18945179695891709"/>
    <n v="2.514356431778431"/>
    <n v="531"/>
    <n v="46.701846965699197"/>
  </r>
  <r>
    <x v="2"/>
    <x v="0"/>
    <n v="5687"/>
    <n v="5.5937250852081347E-3"/>
    <n v="6.0702206751805932E-3"/>
    <n v="0.1128335545359531"/>
    <n v="3044"/>
    <n v="53.525584666783899"/>
  </r>
  <r>
    <x v="2"/>
    <x v="1"/>
    <n v="5687"/>
    <n v="4.6036286554974458E-4"/>
    <n v="7.5032704472288714E-3"/>
    <n v="0.25556256259770721"/>
    <n v="2965"/>
    <n v="52.136451556180759"/>
  </r>
  <r>
    <x v="2"/>
    <x v="2"/>
    <n v="5687"/>
    <n v="5.8412737981528564E-3"/>
    <n v="2.2208500808429399E-2"/>
    <n v="0.39589709728564521"/>
    <n v="3075"/>
    <n v="54.070687532969927"/>
  </r>
  <r>
    <x v="2"/>
    <x v="3"/>
    <n v="5688"/>
    <n v="8.8608736110272601E-3"/>
    <n v="2.313304296966967E-2"/>
    <n v="0.52569048994599255"/>
    <n v="2996"/>
    <n v="52.672292545710263"/>
  </r>
  <r>
    <x v="2"/>
    <x v="4"/>
    <n v="5688"/>
    <n v="9.4427333848067594E-3"/>
    <n v="2.107530233586008E-2"/>
    <n v="0.67547255178547616"/>
    <n v="2966"/>
    <n v="52.144866385372723"/>
  </r>
  <r>
    <x v="2"/>
    <x v="5"/>
    <n v="5688"/>
    <n v="-2.0401701703102279E-2"/>
    <n v="3.2803792427471563E-2"/>
    <n v="1.164905290745393"/>
    <n v="2952"/>
    <n v="51.898734177215189"/>
  </r>
  <r>
    <x v="2"/>
    <x v="6"/>
    <n v="5666"/>
    <n v="-0.14554770011150869"/>
    <n v="-5.7303495650229408E-2"/>
    <n v="2.493095033516179"/>
    <n v="2749"/>
    <n v="48.517472643840463"/>
  </r>
  <r>
    <x v="3"/>
    <x v="0"/>
    <n v="1138"/>
    <n v="1.789442213720091E-2"/>
    <n v="1.543175599668656E-2"/>
    <n v="0.16034703139041279"/>
    <n v="637"/>
    <n v="55.975395430579972"/>
  </r>
  <r>
    <x v="3"/>
    <x v="1"/>
    <n v="1138"/>
    <n v="1.7609506827897171E-2"/>
    <n v="2.696350465407615E-2"/>
    <n v="0.40494275232610061"/>
    <n v="634"/>
    <n v="55.711775043936733"/>
  </r>
  <r>
    <x v="3"/>
    <x v="2"/>
    <n v="1138"/>
    <n v="2.5537996268451491E-2"/>
    <n v="4.212956330807982E-2"/>
    <n v="0.57889415327711968"/>
    <n v="664"/>
    <n v="58.347978910369072"/>
  </r>
  <r>
    <x v="3"/>
    <x v="3"/>
    <n v="1138"/>
    <n v="5.382784732985809E-2"/>
    <n v="4.5312503592953579E-2"/>
    <n v="0.7407981004174905"/>
    <n v="637"/>
    <n v="55.975395430579972"/>
  </r>
  <r>
    <x v="3"/>
    <x v="4"/>
    <n v="1138"/>
    <n v="6.9411689254838899E-2"/>
    <n v="7.6031666023756994E-2"/>
    <n v="0.88424589039793711"/>
    <n v="640"/>
    <n v="56.239015817223198"/>
  </r>
  <r>
    <x v="3"/>
    <x v="5"/>
    <n v="1138"/>
    <n v="3.016114081331743E-2"/>
    <n v="7.2242244136355716E-2"/>
    <n v="1.4060625329756009"/>
    <n v="610"/>
    <n v="53.602811950790873"/>
  </r>
  <r>
    <x v="3"/>
    <x v="6"/>
    <n v="1133"/>
    <n v="-2.376398125293363E-3"/>
    <n v="3.3725282433905157E-2"/>
    <n v="2.8063748231797079"/>
    <n v="574"/>
    <n v="50.661959399823473"/>
  </r>
  <r>
    <x v="4"/>
    <x v="0"/>
    <n v="5688"/>
    <n v="5.4447537768993509E-4"/>
    <n v="-8.7675933280184637E-5"/>
    <n v="5.1514030679754977E-2"/>
    <n v="2626"/>
    <n v="46.167369901547119"/>
  </r>
  <r>
    <x v="4"/>
    <x v="1"/>
    <n v="5688"/>
    <n v="5.1715286090168363E-5"/>
    <n v="-1.9110042737191519E-3"/>
    <n v="9.8394145821629156E-2"/>
    <n v="2750"/>
    <n v="48.347398030942337"/>
  </r>
  <r>
    <x v="4"/>
    <x v="2"/>
    <n v="5688"/>
    <n v="-2.106097410692692E-3"/>
    <n v="-4.8647094060161322E-3"/>
    <n v="0.15381506381037779"/>
    <n v="2722"/>
    <n v="47.855133614627277"/>
  </r>
  <r>
    <x v="4"/>
    <x v="3"/>
    <n v="5687"/>
    <n v="-2.6623590891386262E-3"/>
    <n v="-5.9359051287621867E-3"/>
    <n v="0.22124592946429711"/>
    <n v="2746"/>
    <n v="48.285563566027783"/>
  </r>
  <r>
    <x v="4"/>
    <x v="4"/>
    <n v="5688"/>
    <n v="-3.044781909635183E-3"/>
    <n v="-6.1796771397892858E-3"/>
    <n v="0.32414604037223438"/>
    <n v="2775"/>
    <n v="48.786919831223628"/>
  </r>
  <r>
    <x v="4"/>
    <x v="5"/>
    <n v="5685"/>
    <n v="-2.6120879113387648E-3"/>
    <n v="3.050024893580527E-3"/>
    <n v="0.68113340570032699"/>
    <n v="2859"/>
    <n v="50.290237467018471"/>
  </r>
  <r>
    <x v="4"/>
    <x v="6"/>
    <n v="5682"/>
    <n v="-5.3574761599955591E-2"/>
    <n v="4.9733628572334883E-2"/>
    <n v="1.8453500414036179"/>
    <n v="2932"/>
    <n v="51.601548750439989"/>
  </r>
  <r>
    <x v="5"/>
    <x v="0"/>
    <n v="5687"/>
    <n v="1.466510747075239E-3"/>
    <n v="9.3105448439878558E-5"/>
    <n v="4.7326731804492907E-2"/>
    <n v="2901"/>
    <n v="51.011077896957978"/>
  </r>
  <r>
    <x v="5"/>
    <x v="1"/>
    <n v="5687"/>
    <n v="-7.6631838163004136E-5"/>
    <n v="1.5626924639633439E-3"/>
    <n v="9.4980482435239669E-2"/>
    <n v="2917"/>
    <n v="51.292421311763668"/>
  </r>
  <r>
    <x v="5"/>
    <x v="2"/>
    <n v="5687"/>
    <n v="1.1382382019305721E-3"/>
    <n v="5.2853852278600399E-3"/>
    <n v="0.16760301200492869"/>
    <n v="2978"/>
    <n v="52.365043080710393"/>
  </r>
  <r>
    <x v="5"/>
    <x v="3"/>
    <n v="5688"/>
    <n v="7.2138178637871251E-3"/>
    <n v="8.5699570043673567E-3"/>
    <n v="0.22871730069696669"/>
    <n v="2997"/>
    <n v="52.689873417721522"/>
  </r>
  <r>
    <x v="5"/>
    <x v="4"/>
    <n v="5688"/>
    <n v="1.026520516662467E-2"/>
    <n v="8.2172811382563715E-3"/>
    <n v="0.31255537395239241"/>
    <n v="2948"/>
    <n v="51.828410689170177"/>
  </r>
  <r>
    <x v="5"/>
    <x v="5"/>
    <n v="5685"/>
    <n v="8.4234646982358011E-3"/>
    <n v="2.6110391003109079E-2"/>
    <n v="0.69254764985091222"/>
    <n v="3000"/>
    <n v="52.770448548812674"/>
  </r>
  <r>
    <x v="5"/>
    <x v="6"/>
    <n v="5681"/>
    <n v="-3.2674454922902073E-2"/>
    <n v="8.8628157104131411E-2"/>
    <n v="1.814943541993054"/>
    <n v="3021"/>
    <n v="53.177257525083611"/>
  </r>
  <r>
    <x v="6"/>
    <x v="0"/>
    <n v="1138"/>
    <n v="-4.9364307331854057E-4"/>
    <n v="-8.6329973292276208E-5"/>
    <n v="4.0351338109483263E-2"/>
    <n v="500"/>
    <n v="43.936731107205617"/>
  </r>
  <r>
    <x v="6"/>
    <x v="1"/>
    <n v="1138"/>
    <n v="3.3592745974229938E-4"/>
    <n v="-2.9403697694441178E-4"/>
    <n v="8.6716807842208934E-2"/>
    <n v="556"/>
    <n v="48.857644991212659"/>
  </r>
  <r>
    <x v="6"/>
    <x v="2"/>
    <n v="1138"/>
    <n v="-1.791641783796407E-3"/>
    <n v="-6.7014380230379089E-3"/>
    <n v="0.12152780404430399"/>
    <n v="525"/>
    <n v="46.133567662565902"/>
  </r>
  <r>
    <x v="6"/>
    <x v="3"/>
    <n v="1138"/>
    <n v="2.4057749994362259E-4"/>
    <n v="-5.0756799591045176E-3"/>
    <n v="0.17499442417723421"/>
    <n v="551"/>
    <n v="48.418277680140598"/>
  </r>
  <r>
    <x v="6"/>
    <x v="4"/>
    <n v="1138"/>
    <n v="5.4076262107479215E-4"/>
    <n v="-1.249895742979623E-2"/>
    <n v="0.29554293681234622"/>
    <n v="539"/>
    <n v="47.363796133567668"/>
  </r>
  <r>
    <x v="6"/>
    <x v="5"/>
    <n v="1138"/>
    <n v="1.946209300264749E-2"/>
    <n v="4.478355248971333E-3"/>
    <n v="0.57481001375103247"/>
    <n v="576"/>
    <n v="50.615114235500883"/>
  </r>
  <r>
    <x v="6"/>
    <x v="6"/>
    <n v="1138"/>
    <n v="9.4183378022888471E-3"/>
    <n v="5.7400450041233952E-2"/>
    <n v="1.686362104747827"/>
    <n v="597"/>
    <n v="52.460456942003518"/>
  </r>
  <r>
    <x v="7"/>
    <x v="0"/>
    <n v="1138"/>
    <n v="3.3427220710511721E-3"/>
    <n v="1.606093889217064E-4"/>
    <n v="3.9846271327449848E-2"/>
    <n v="599"/>
    <n v="52.636203866432339"/>
  </r>
  <r>
    <x v="7"/>
    <x v="1"/>
    <n v="1138"/>
    <n v="2.1786319470225128E-3"/>
    <n v="3.8559636582724539E-3"/>
    <n v="8.3195736762999226E-2"/>
    <n v="612"/>
    <n v="53.778558875219687"/>
  </r>
  <r>
    <x v="7"/>
    <x v="2"/>
    <n v="1138"/>
    <n v="8.5421402086106341E-3"/>
    <n v="8.4143195363761691E-3"/>
    <n v="0.12141568625411001"/>
    <n v="613"/>
    <n v="53.866432337434098"/>
  </r>
  <r>
    <x v="7"/>
    <x v="3"/>
    <n v="1138"/>
    <n v="1.465352255418517E-2"/>
    <n v="1.3690709205671499E-2"/>
    <n v="0.1709386516219607"/>
    <n v="625"/>
    <n v="54.920913884007028"/>
  </r>
  <r>
    <x v="7"/>
    <x v="4"/>
    <n v="1138"/>
    <n v="2.6572408077154611E-2"/>
    <n v="1.6288732506442031E-2"/>
    <n v="0.25091214422282632"/>
    <n v="614"/>
    <n v="53.954305799648509"/>
  </r>
  <r>
    <x v="7"/>
    <x v="5"/>
    <n v="1137"/>
    <n v="4.3637129960878492E-2"/>
    <n v="4.4689529649466493E-2"/>
    <n v="0.57281592067141252"/>
    <n v="629"/>
    <n v="55.321020228671948"/>
  </r>
  <r>
    <x v="7"/>
    <x v="6"/>
    <n v="1136"/>
    <n v="8.4113581823297132E-2"/>
    <n v="0.1861122571553353"/>
    <n v="1.565148229051436"/>
    <n v="667"/>
    <n v="58.7147887323943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5688"/>
    <n v="-5.1971934235820524E-3"/>
    <n v="-6.645914057090696E-3"/>
    <n v="0.1071770195612938"/>
    <n v="2619"/>
    <n v="46.044303797468359"/>
  </r>
  <r>
    <x v="0"/>
    <x v="1"/>
    <n v="5688"/>
    <n v="-7.3140473267019066E-3"/>
    <n v="-1.5324300318397819E-2"/>
    <n v="0.2040275219223025"/>
    <n v="2589"/>
    <n v="45.516877637130797"/>
  </r>
  <r>
    <x v="0"/>
    <x v="2"/>
    <n v="5688"/>
    <n v="-1.3428775248083131E-2"/>
    <n v="-2.0661233836266609E-2"/>
    <n v="0.36589508835858298"/>
    <n v="2610"/>
    <n v="45.88607594936709"/>
  </r>
  <r>
    <x v="0"/>
    <x v="3"/>
    <n v="5688"/>
    <n v="-6.2380181544003759E-3"/>
    <n v="-2.29697535005291E-2"/>
    <n v="0.46012954138353018"/>
    <n v="2671"/>
    <n v="46.958509142053437"/>
  </r>
  <r>
    <x v="0"/>
    <x v="4"/>
    <n v="5688"/>
    <n v="-1.7761822306337871E-3"/>
    <n v="-2.0752429368148251E-2"/>
    <n v="0.63671855610245431"/>
    <n v="2720"/>
    <n v="47.819971870604782"/>
  </r>
  <r>
    <x v="0"/>
    <x v="5"/>
    <n v="5687"/>
    <n v="6.0301417344775614E-3"/>
    <n v="-1.1711207339792921E-2"/>
    <n v="1.1095643974092191"/>
    <n v="2794"/>
    <n v="49.129593810444867"/>
  </r>
  <r>
    <x v="0"/>
    <x v="6"/>
    <n v="5672"/>
    <n v="-0.1468398959288052"/>
    <n v="-6.4244983472727668E-2"/>
    <n v="2.4506222581196808"/>
    <n v="2757"/>
    <n v="48.60719322990127"/>
  </r>
  <r>
    <x v="1"/>
    <x v="0"/>
    <n v="1138"/>
    <n v="-1.4801324626297329E-2"/>
    <n v="-1.295613106228055E-2"/>
    <n v="0.14763952441811859"/>
    <n v="511"/>
    <n v="44.903339191564143"/>
  </r>
  <r>
    <x v="1"/>
    <x v="1"/>
    <n v="1138"/>
    <n v="-1.0985052866387211E-2"/>
    <n v="-2.7074998209497551E-2"/>
    <n v="0.25913388083859079"/>
    <n v="507"/>
    <n v="44.5518453427065"/>
  </r>
  <r>
    <x v="1"/>
    <x v="2"/>
    <n v="1138"/>
    <n v="-2.281163763997452E-2"/>
    <n v="-4.8937262348625048E-2"/>
    <n v="0.42046094144859758"/>
    <n v="487"/>
    <n v="42.794376098418283"/>
  </r>
  <r>
    <x v="1"/>
    <x v="3"/>
    <n v="1138"/>
    <n v="-2.076641333365339E-3"/>
    <n v="-4.052167389598238E-2"/>
    <n v="0.57360770621031965"/>
    <n v="513"/>
    <n v="45.079086115992972"/>
  </r>
  <r>
    <x v="1"/>
    <x v="4"/>
    <n v="1138"/>
    <n v="-1.024810673085152E-4"/>
    <n v="-5.0291167535937431E-2"/>
    <n v="0.77584318933075025"/>
    <n v="527"/>
    <n v="46.309314586994716"/>
  </r>
  <r>
    <x v="1"/>
    <x v="5"/>
    <n v="1138"/>
    <n v="-8.5306630909335931E-3"/>
    <n v="-8.0361155628777547E-2"/>
    <n v="1.2514613170165301"/>
    <n v="530"/>
    <n v="46.572934973637963"/>
  </r>
  <r>
    <x v="1"/>
    <x v="6"/>
    <n v="1137"/>
    <n v="-0.10152635218663229"/>
    <n v="-0.18945179695891709"/>
    <n v="2.514356431778431"/>
    <n v="531"/>
    <n v="46.701846965699197"/>
  </r>
  <r>
    <x v="2"/>
    <x v="0"/>
    <n v="5687"/>
    <n v="5.5937250852081347E-3"/>
    <n v="6.0702206751805932E-3"/>
    <n v="0.1128335545359531"/>
    <n v="3044"/>
    <n v="53.525584666783899"/>
  </r>
  <r>
    <x v="2"/>
    <x v="1"/>
    <n v="5687"/>
    <n v="4.6036286554974458E-4"/>
    <n v="7.5032704472288714E-3"/>
    <n v="0.25556256259770721"/>
    <n v="2965"/>
    <n v="52.136451556180759"/>
  </r>
  <r>
    <x v="2"/>
    <x v="2"/>
    <n v="5687"/>
    <n v="5.8412737981528564E-3"/>
    <n v="2.2208500808429399E-2"/>
    <n v="0.39589709728564521"/>
    <n v="3075"/>
    <n v="54.070687532969927"/>
  </r>
  <r>
    <x v="2"/>
    <x v="3"/>
    <n v="5688"/>
    <n v="8.8608736110272601E-3"/>
    <n v="2.313304296966967E-2"/>
    <n v="0.52569048994599255"/>
    <n v="2996"/>
    <n v="52.672292545710263"/>
  </r>
  <r>
    <x v="2"/>
    <x v="4"/>
    <n v="5688"/>
    <n v="9.4427333848067594E-3"/>
    <n v="2.107530233586008E-2"/>
    <n v="0.67547255178547616"/>
    <n v="2966"/>
    <n v="52.144866385372723"/>
  </r>
  <r>
    <x v="2"/>
    <x v="5"/>
    <n v="5688"/>
    <n v="-2.0401701703102279E-2"/>
    <n v="3.2803792427471563E-2"/>
    <n v="1.164905290745393"/>
    <n v="2952"/>
    <n v="51.898734177215189"/>
  </r>
  <r>
    <x v="2"/>
    <x v="6"/>
    <n v="5666"/>
    <n v="-0.14554770011150869"/>
    <n v="-5.7303495650229408E-2"/>
    <n v="2.493095033516179"/>
    <n v="2749"/>
    <n v="48.517472643840463"/>
  </r>
  <r>
    <x v="3"/>
    <x v="0"/>
    <n v="1138"/>
    <n v="1.789442213720091E-2"/>
    <n v="1.543175599668656E-2"/>
    <n v="0.16034703139041279"/>
    <n v="637"/>
    <n v="55.975395430579972"/>
  </r>
  <r>
    <x v="3"/>
    <x v="1"/>
    <n v="1138"/>
    <n v="1.7609506827897171E-2"/>
    <n v="2.696350465407615E-2"/>
    <n v="0.40494275232610061"/>
    <n v="634"/>
    <n v="55.711775043936733"/>
  </r>
  <r>
    <x v="3"/>
    <x v="2"/>
    <n v="1138"/>
    <n v="2.5537996268451491E-2"/>
    <n v="4.212956330807982E-2"/>
    <n v="0.57889415327711968"/>
    <n v="664"/>
    <n v="58.347978910369072"/>
  </r>
  <r>
    <x v="3"/>
    <x v="3"/>
    <n v="1138"/>
    <n v="5.382784732985809E-2"/>
    <n v="4.5312503592953579E-2"/>
    <n v="0.7407981004174905"/>
    <n v="637"/>
    <n v="55.975395430579972"/>
  </r>
  <r>
    <x v="3"/>
    <x v="4"/>
    <n v="1138"/>
    <n v="6.9411689254838899E-2"/>
    <n v="7.6031666023756994E-2"/>
    <n v="0.88424589039793711"/>
    <n v="640"/>
    <n v="56.239015817223198"/>
  </r>
  <r>
    <x v="3"/>
    <x v="5"/>
    <n v="1138"/>
    <n v="3.016114081331743E-2"/>
    <n v="7.2242244136355716E-2"/>
    <n v="1.4060625329756009"/>
    <n v="610"/>
    <n v="53.602811950790873"/>
  </r>
  <r>
    <x v="3"/>
    <x v="6"/>
    <n v="1133"/>
    <n v="-2.376398125293363E-3"/>
    <n v="3.3725282433905157E-2"/>
    <n v="2.8063748231797079"/>
    <n v="574"/>
    <n v="50.661959399823473"/>
  </r>
  <r>
    <x v="4"/>
    <x v="0"/>
    <n v="5688"/>
    <n v="5.4447537768993509E-4"/>
    <n v="-8.7675933280184637E-5"/>
    <n v="5.1514030679754977E-2"/>
    <n v="2626"/>
    <n v="46.167369901547119"/>
  </r>
  <r>
    <x v="4"/>
    <x v="1"/>
    <n v="5688"/>
    <n v="5.1715286090168363E-5"/>
    <n v="-1.9110042737191519E-3"/>
    <n v="9.8394145821629156E-2"/>
    <n v="2750"/>
    <n v="48.347398030942337"/>
  </r>
  <r>
    <x v="4"/>
    <x v="2"/>
    <n v="5688"/>
    <n v="-2.106097410692692E-3"/>
    <n v="-4.8647094060161322E-3"/>
    <n v="0.15381506381037779"/>
    <n v="2722"/>
    <n v="47.855133614627277"/>
  </r>
  <r>
    <x v="4"/>
    <x v="3"/>
    <n v="5687"/>
    <n v="-2.6623590891386262E-3"/>
    <n v="-5.9359051287621867E-3"/>
    <n v="0.22124592946429711"/>
    <n v="2746"/>
    <n v="48.285563566027783"/>
  </r>
  <r>
    <x v="4"/>
    <x v="4"/>
    <n v="5688"/>
    <n v="-3.044781909635183E-3"/>
    <n v="-6.1796771397892858E-3"/>
    <n v="0.32414604037223438"/>
    <n v="2775"/>
    <n v="48.786919831223628"/>
  </r>
  <r>
    <x v="4"/>
    <x v="5"/>
    <n v="5685"/>
    <n v="-2.6120879113387648E-3"/>
    <n v="3.050024893580527E-3"/>
    <n v="0.68113340570032699"/>
    <n v="2859"/>
    <n v="50.290237467018471"/>
  </r>
  <r>
    <x v="4"/>
    <x v="6"/>
    <n v="5682"/>
    <n v="-5.3574761599955591E-2"/>
    <n v="4.9733628572334883E-2"/>
    <n v="1.8453500414036179"/>
    <n v="2932"/>
    <n v="51.601548750439989"/>
  </r>
  <r>
    <x v="5"/>
    <x v="0"/>
    <n v="5687"/>
    <n v="1.466510747075239E-3"/>
    <n v="9.3105448439878558E-5"/>
    <n v="4.7326731804492907E-2"/>
    <n v="2901"/>
    <n v="51.011077896957978"/>
  </r>
  <r>
    <x v="5"/>
    <x v="1"/>
    <n v="5687"/>
    <n v="-7.6631838163004136E-5"/>
    <n v="1.5626924639633439E-3"/>
    <n v="9.4980482435239669E-2"/>
    <n v="2917"/>
    <n v="51.292421311763668"/>
  </r>
  <r>
    <x v="5"/>
    <x v="2"/>
    <n v="5687"/>
    <n v="1.1382382019305721E-3"/>
    <n v="5.2853852278600399E-3"/>
    <n v="0.16760301200492869"/>
    <n v="2978"/>
    <n v="52.365043080710393"/>
  </r>
  <r>
    <x v="5"/>
    <x v="3"/>
    <n v="5688"/>
    <n v="7.2138178637871251E-3"/>
    <n v="8.5699570043673567E-3"/>
    <n v="0.22871730069696669"/>
    <n v="2997"/>
    <n v="52.689873417721522"/>
  </r>
  <r>
    <x v="5"/>
    <x v="4"/>
    <n v="5688"/>
    <n v="1.026520516662467E-2"/>
    <n v="8.2172811382563715E-3"/>
    <n v="0.31255537395239241"/>
    <n v="2948"/>
    <n v="51.828410689170177"/>
  </r>
  <r>
    <x v="5"/>
    <x v="5"/>
    <n v="5685"/>
    <n v="8.4234646982358011E-3"/>
    <n v="2.6110391003109079E-2"/>
    <n v="0.69254764985091222"/>
    <n v="3000"/>
    <n v="52.770448548812674"/>
  </r>
  <r>
    <x v="5"/>
    <x v="6"/>
    <n v="5681"/>
    <n v="-3.2674454922902073E-2"/>
    <n v="8.8628157104131411E-2"/>
    <n v="1.814943541993054"/>
    <n v="3021"/>
    <n v="53.177257525083611"/>
  </r>
  <r>
    <x v="6"/>
    <x v="0"/>
    <n v="1138"/>
    <n v="-4.9364307331854057E-4"/>
    <n v="-8.6329973292276208E-5"/>
    <n v="4.0351338109483263E-2"/>
    <n v="500"/>
    <n v="43.936731107205617"/>
  </r>
  <r>
    <x v="6"/>
    <x v="1"/>
    <n v="1138"/>
    <n v="3.3592745974229938E-4"/>
    <n v="-2.9403697694441178E-4"/>
    <n v="8.6716807842208934E-2"/>
    <n v="556"/>
    <n v="48.857644991212659"/>
  </r>
  <r>
    <x v="6"/>
    <x v="2"/>
    <n v="1138"/>
    <n v="-1.791641783796407E-3"/>
    <n v="-6.7014380230379089E-3"/>
    <n v="0.12152780404430399"/>
    <n v="525"/>
    <n v="46.133567662565902"/>
  </r>
  <r>
    <x v="6"/>
    <x v="3"/>
    <n v="1138"/>
    <n v="2.4057749994362259E-4"/>
    <n v="-5.0756799591045176E-3"/>
    <n v="0.17499442417723421"/>
    <n v="551"/>
    <n v="48.418277680140598"/>
  </r>
  <r>
    <x v="6"/>
    <x v="4"/>
    <n v="1138"/>
    <n v="5.4076262107479215E-4"/>
    <n v="-1.249895742979623E-2"/>
    <n v="0.29554293681234622"/>
    <n v="539"/>
    <n v="47.363796133567668"/>
  </r>
  <r>
    <x v="6"/>
    <x v="5"/>
    <n v="1138"/>
    <n v="1.946209300264749E-2"/>
    <n v="4.478355248971333E-3"/>
    <n v="0.57481001375103247"/>
    <n v="576"/>
    <n v="50.615114235500883"/>
  </r>
  <r>
    <x v="6"/>
    <x v="6"/>
    <n v="1138"/>
    <n v="9.4183378022888471E-3"/>
    <n v="5.7400450041233952E-2"/>
    <n v="1.686362104747827"/>
    <n v="597"/>
    <n v="52.460456942003518"/>
  </r>
  <r>
    <x v="7"/>
    <x v="0"/>
    <n v="1138"/>
    <n v="3.3427220710511721E-3"/>
    <n v="1.606093889217064E-4"/>
    <n v="3.9846271327449848E-2"/>
    <n v="599"/>
    <n v="52.636203866432339"/>
  </r>
  <r>
    <x v="7"/>
    <x v="1"/>
    <n v="1138"/>
    <n v="2.1786319470225128E-3"/>
    <n v="3.8559636582724539E-3"/>
    <n v="8.3195736762999226E-2"/>
    <n v="612"/>
    <n v="53.778558875219687"/>
  </r>
  <r>
    <x v="7"/>
    <x v="2"/>
    <n v="1138"/>
    <n v="8.5421402086106341E-3"/>
    <n v="8.4143195363761691E-3"/>
    <n v="0.12141568625411001"/>
    <n v="613"/>
    <n v="53.866432337434098"/>
  </r>
  <r>
    <x v="7"/>
    <x v="3"/>
    <n v="1138"/>
    <n v="1.465352255418517E-2"/>
    <n v="1.3690709205671499E-2"/>
    <n v="0.1709386516219607"/>
    <n v="625"/>
    <n v="54.920913884007028"/>
  </r>
  <r>
    <x v="7"/>
    <x v="4"/>
    <n v="1138"/>
    <n v="2.6572408077154611E-2"/>
    <n v="1.6288732506442031E-2"/>
    <n v="0.25091214422282632"/>
    <n v="614"/>
    <n v="53.954305799648509"/>
  </r>
  <r>
    <x v="7"/>
    <x v="5"/>
    <n v="1137"/>
    <n v="4.3637129960878492E-2"/>
    <n v="4.4689529649466493E-2"/>
    <n v="0.57281592067141252"/>
    <n v="629"/>
    <n v="55.321020228671948"/>
  </r>
  <r>
    <x v="7"/>
    <x v="6"/>
    <n v="1136"/>
    <n v="8.4113581823297132E-2"/>
    <n v="0.1861122571553353"/>
    <n v="1.565148229051436"/>
    <n v="667"/>
    <n v="58.7147887323943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B1F2B-411A-45DB-96B2-B445A854CA22}" name="PivotTable10" cacheId="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6:E44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5" showAll="0"/>
    <pivotField numFmtId="165" showAll="0"/>
    <pivotField dataField="1" numFmtId="164" showAll="0"/>
    <pivotField showAll="0"/>
    <pivotField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standard deviation (%)" fld="5" baseField="0" baseItem="0" numFmtId="164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3D666-1606-4BF1-B75C-0A67E83DAB87}" name="PivotTable7" cacheId="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25:E33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5" showAll="0"/>
    <pivotField numFmtId="165" showAll="0"/>
    <pivotField numFmtId="164" showAll="0"/>
    <pivotField showAll="0"/>
    <pivotField dataField="1"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Positive movements (%)" fld="7" baseField="0" baseItem="0" numFmtId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54C9F-322F-4CBE-B450-E32A24D3A4C4}" name="PivotTable6" cacheId="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14:E22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5" showAll="0"/>
    <pivotField dataField="1" numFmtId="165" showAll="0"/>
    <pivotField numFmtId="164" showAll="0"/>
    <pivotField showAll="0"/>
    <pivotField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median movement(%)" fld="4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6D618-492A-4C13-B3CB-82B0CFD4B450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 rowHeaderCaption="Minutes Forward">
  <location ref="A3:E11" firstHeaderRow="1" firstDataRow="2" firstDataCol="1"/>
  <pivotFields count="8">
    <pivotField axis="axisCol" showAll="0">
      <items count="9">
        <item x="0"/>
        <item h="1" x="4"/>
        <item h="1" x="5"/>
        <item x="2"/>
        <item x="1"/>
        <item h="1" x="6"/>
        <item h="1" x="7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3"/>
    </i>
    <i>
      <x v="4"/>
    </i>
    <i>
      <x v="7"/>
    </i>
  </colItems>
  <dataFields count="1">
    <dataField name="Sum of average movement(%)" fld="3" baseField="0" baseItem="0" numFmtId="165"/>
  </dataFields>
  <chartFormats count="10">
    <chartFormat chart="0" format="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5D81E-0AFB-41D4-A0A5-DCB5172C5969}" name="Table4" displayName="Table4" ref="A1:H57" totalsRowShown="0">
  <autoFilter ref="A1:H57" xr:uid="{1F95D81E-0AFB-41D4-A0A5-DCB5172C5969}"/>
  <tableColumns count="8">
    <tableColumn id="1" xr3:uid="{F8F2FBE9-8794-4B67-8F7C-0D02A1A656EE}" name="condition"/>
    <tableColumn id="2" xr3:uid="{213150DE-FD88-470C-8196-E39CB591C88C}" name="minutes forward"/>
    <tableColumn id="3" xr3:uid="{AD36BF9A-7D60-4332-985B-8A2BE79C62D0}" name="events"/>
    <tableColumn id="4" xr3:uid="{5748666E-592F-4923-96C2-0D56486B3610}" name="average movement(%)" dataDxfId="8"/>
    <tableColumn id="5" xr3:uid="{335E3198-3E66-4DE5-A190-9A70EF9214ED}" name="median movement(%)" dataDxfId="7"/>
    <tableColumn id="6" xr3:uid="{E430A85F-713E-4DBF-8221-EF02712DB27E}" name="standard deviation (%)" dataDxfId="6"/>
    <tableColumn id="7" xr3:uid="{6D2604DB-5179-4FF7-9D4A-15EC02731FA2}" name="positive movements"/>
    <tableColumn id="8" xr3:uid="{C878E0B9-3FFD-42BC-9D68-13F2AC6C7073}" name="Positive movements (%)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B6FFEB-AD8A-4B0D-8529-50210D3CFF3A}" name="Table5" displayName="Table5" ref="A1:H8" totalsRowShown="0">
  <autoFilter ref="A1:H8" xr:uid="{06B6FFEB-AD8A-4B0D-8529-50210D3CFF3A}"/>
  <tableColumns count="8">
    <tableColumn id="1" xr3:uid="{437B8E49-8391-487F-AB4F-4F2B87D337ED}" name="condition"/>
    <tableColumn id="2" xr3:uid="{A0442B58-C190-4E81-AE8B-229D4979D112}" name="minutes forward"/>
    <tableColumn id="3" xr3:uid="{D3D6C5B7-4EA6-4B4D-835F-DE606B4059CF}" name="events"/>
    <tableColumn id="4" xr3:uid="{521F8DF2-45C4-4E2A-BBBA-7DBC24B9B053}" name="average movement(%)"/>
    <tableColumn id="5" xr3:uid="{00118813-9B1A-423B-834F-D29165F892D7}" name="median movement(%)"/>
    <tableColumn id="6" xr3:uid="{DDA05A9D-7E31-470E-8BB6-FC41DFC0A876}" name="standard deviation (%)"/>
    <tableColumn id="7" xr3:uid="{7DB69163-C91F-40F5-A7FF-09FB9988C0BA}" name="positive movements"/>
    <tableColumn id="8" xr3:uid="{EECB6E2D-DD85-4796-9F3F-E60F154E6680}" name="Positive movements (%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AA11D1-BC53-453E-B893-C55D9379214E}" name="Table6" displayName="Table6" ref="A1:H8" totalsRowShown="0">
  <autoFilter ref="A1:H8" xr:uid="{27AA11D1-BC53-453E-B893-C55D9379214E}"/>
  <tableColumns count="8">
    <tableColumn id="1" xr3:uid="{847FCF74-FB92-4665-91D0-6A6B24A1AA13}" name="condition"/>
    <tableColumn id="2" xr3:uid="{87B4DCA3-B72A-4EEE-A3A1-02FC65F98C09}" name="minutes forward"/>
    <tableColumn id="3" xr3:uid="{9E1CAEC9-2ADE-4A28-B87D-69165C87B7C1}" name="events"/>
    <tableColumn id="4" xr3:uid="{D14D11E3-0E94-4309-9E8C-E88075865FA9}" name="average movement(%)"/>
    <tableColumn id="5" xr3:uid="{5DCB1FBC-3BBF-4F9A-809B-BA5D4F035883}" name="median movement(%)"/>
    <tableColumn id="6" xr3:uid="{73DAABA1-5D8F-491C-8CE9-0452603B3363}" name="standard deviation (%)"/>
    <tableColumn id="7" xr3:uid="{118B8001-0DFB-4197-AC51-DC14B6C8FDE0}" name="positive movements"/>
    <tableColumn id="8" xr3:uid="{7CCFBF50-4FAD-4836-AC1F-89EAFEB974B2}" name="Positive movements (%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61FDFB-6457-4E99-BB6F-E5B63465DE37}" name="Table7" displayName="Table7" ref="A1:H8" totalsRowShown="0">
  <autoFilter ref="A1:H8" xr:uid="{3A61FDFB-6457-4E99-BB6F-E5B63465DE37}"/>
  <tableColumns count="8">
    <tableColumn id="1" xr3:uid="{5AE46D0A-3280-42B5-9FAB-B057681D2034}" name="condition"/>
    <tableColumn id="2" xr3:uid="{6C8625BB-FE0C-43BA-A9CA-FBE01F0FD078}" name="minutes forward"/>
    <tableColumn id="3" xr3:uid="{427141B5-44A5-4D66-BB57-50FBF6B7CFD5}" name="events"/>
    <tableColumn id="4" xr3:uid="{B2A996F9-4411-4278-A683-B0987DB6587B}" name="average movement(%)"/>
    <tableColumn id="5" xr3:uid="{0934246A-2CAF-4770-A7A9-3612EAFB1336}" name="median movement(%)"/>
    <tableColumn id="6" xr3:uid="{D241E992-9CB1-42F3-9ACB-274DE3D77301}" name="standard deviation (%)"/>
    <tableColumn id="7" xr3:uid="{81165B96-CE34-4B80-946A-C96DCE7B14C4}" name="positive movements"/>
    <tableColumn id="8" xr3:uid="{C58FBD34-4B53-426D-8916-95B40CF9ACD0}" name="Positive movements (%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CA229A-74F2-4F7B-B09A-22C05EFA35E6}" name="Table8" displayName="Table8" ref="A1:H8" totalsRowShown="0">
  <autoFilter ref="A1:H8" xr:uid="{FECA229A-74F2-4F7B-B09A-22C05EFA35E6}"/>
  <tableColumns count="8">
    <tableColumn id="1" xr3:uid="{66F81116-58C1-4949-9C5D-5484899F7504}" name="condition"/>
    <tableColumn id="2" xr3:uid="{7B74EAF4-2BEE-4E7E-A560-E474E7E391E0}" name="minutes forward"/>
    <tableColumn id="3" xr3:uid="{DD2372E6-CF12-48C8-8425-25D7A6E60FFB}" name="events"/>
    <tableColumn id="4" xr3:uid="{573394AC-9D9A-46B1-A0F3-D183342EEE82}" name="average movement(%)"/>
    <tableColumn id="5" xr3:uid="{71E6C2E4-488E-4E2E-A28F-80D8C79F89E1}" name="median movement(%)"/>
    <tableColumn id="6" xr3:uid="{728520C6-0A2C-4C79-8AE9-4BBE5E6FFDB2}" name="standard deviation (%)"/>
    <tableColumn id="7" xr3:uid="{D5EF18BF-C3BB-49DD-B0C9-1B1A61D2272F}" name="positive movements"/>
    <tableColumn id="8" xr3:uid="{2CB3F4FC-1D41-4637-91A1-1A5C63A85278}" name="Positive movements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CB549B-56C8-4E28-8A09-A2B9C5C43614}" name="Table9" displayName="Table9" ref="A1:H8" totalsRowShown="0">
  <autoFilter ref="A1:H8" xr:uid="{EDCB549B-56C8-4E28-8A09-A2B9C5C43614}"/>
  <tableColumns count="8">
    <tableColumn id="1" xr3:uid="{F05BCBC2-C8B2-42B4-9864-A06BAA756CB5}" name="condition"/>
    <tableColumn id="2" xr3:uid="{61BEC79D-67C7-4620-BC26-D1FCCC7362EC}" name="minutes forward"/>
    <tableColumn id="3" xr3:uid="{AFF5CB7E-1204-482F-A002-791717E40F09}" name="events"/>
    <tableColumn id="4" xr3:uid="{6E4950BF-2386-4D8C-862C-04655DA01802}" name="average movement(%)"/>
    <tableColumn id="5" xr3:uid="{43B2C8E7-2919-4656-8F48-FA6066773EE7}" name="median movement(%)"/>
    <tableColumn id="6" xr3:uid="{BDD8069D-A4C6-47C1-9039-B8FD35CA7FBE}" name="standard deviation (%)"/>
    <tableColumn id="7" xr3:uid="{D42F8909-CF4A-4100-A85C-6FD63C4AFC8E}" name="positive movements"/>
    <tableColumn id="8" xr3:uid="{5AD9DC6F-6405-43FE-85A9-107469219EDF}" name="Positive movements (%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99C907-7E96-42A3-A8C5-2E7291AAB5D5}" name="Table10" displayName="Table10" ref="A1:H8" totalsRowShown="0">
  <autoFilter ref="A1:H8" xr:uid="{AD99C907-7E96-42A3-A8C5-2E7291AAB5D5}"/>
  <tableColumns count="8">
    <tableColumn id="1" xr3:uid="{169D5B38-CCE6-4E15-89D2-54974703061E}" name="condition"/>
    <tableColumn id="2" xr3:uid="{1FB9E758-85B7-41D5-9500-76025CDA5169}" name="minutes forward"/>
    <tableColumn id="3" xr3:uid="{0D2E0AEA-E662-49C7-893A-1BABF34DF757}" name="events"/>
    <tableColumn id="4" xr3:uid="{A765D547-FA0D-4AA1-B33E-A5DEC9354AB1}" name="average movement(%)"/>
    <tableColumn id="5" xr3:uid="{BD131F04-5979-4111-980A-FCE89F06B0EC}" name="median movement(%)"/>
    <tableColumn id="6" xr3:uid="{8097627C-9C67-4CA5-AAE5-0FDB254AE8E5}" name="standard deviation (%)"/>
    <tableColumn id="7" xr3:uid="{E8CB46F4-C5DE-47C8-814D-297F81BB0EA3}" name="positive movements"/>
    <tableColumn id="8" xr3:uid="{0D4911A5-413A-4713-A30A-3779A12669BF}" name="Positive movements (%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CCA3ED-1B4B-435B-A622-603B11074805}" name="Table11" displayName="Table11" ref="A1:H8" totalsRowShown="0">
  <autoFilter ref="A1:H8" xr:uid="{34CCA3ED-1B4B-435B-A622-603B11074805}"/>
  <tableColumns count="8">
    <tableColumn id="1" xr3:uid="{8306744C-0328-4A6B-89A9-6DF982188770}" name="condition" dataDxfId="0"/>
    <tableColumn id="2" xr3:uid="{F0AD96C9-B346-463F-8ED1-A73E952AA4BD}" name="minutes forward"/>
    <tableColumn id="3" xr3:uid="{436D94E1-0CF3-43FE-ABF7-210E184FE42B}" name="events"/>
    <tableColumn id="4" xr3:uid="{A7FD933B-163D-48C8-81E4-2581B91D80EF}" name="average movement(%)" dataDxfId="3"/>
    <tableColumn id="5" xr3:uid="{4F403EE4-E7B3-4ADC-8391-0AFE443989CE}" name="median movement(%)" dataDxfId="2"/>
    <tableColumn id="6" xr3:uid="{7E7596C5-B225-4846-8826-B02E60F2EECA}" name="standard deviation (%)" dataDxfId="1"/>
    <tableColumn id="7" xr3:uid="{52F874B0-AB29-44F0-90FE-C661CE5BD8CF}" name="positive movements"/>
    <tableColumn id="8" xr3:uid="{0D828C96-DFBC-4781-813F-BE1FE21AC93C}" name="Positive movements (%)" dataDxfId="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FE2B88-906D-4E91-AEB7-7B7FFAFEC12F}" name="Table12" displayName="Table12" ref="A1:H8" totalsRowShown="0">
  <autoFilter ref="A1:H8" xr:uid="{5EFE2B88-906D-4E91-AEB7-7B7FFAFEC12F}"/>
  <tableColumns count="8">
    <tableColumn id="1" xr3:uid="{C9B11506-7E33-4287-AEF9-B07219BD0CA6}" name="condition"/>
    <tableColumn id="2" xr3:uid="{1CCC0F24-9CB6-4A4E-8817-5C7D17FEC23D}" name="minutes forward"/>
    <tableColumn id="3" xr3:uid="{C216BBBA-20D9-4A40-B67B-3C918EC01ACC}" name="events"/>
    <tableColumn id="4" xr3:uid="{4F9517E3-8BA9-42B3-BF98-31D22B6C5611}" name="average movement(%)"/>
    <tableColumn id="5" xr3:uid="{83357580-4D20-45EB-A31F-1983A9659D7E}" name="median movement(%)"/>
    <tableColumn id="6" xr3:uid="{1DA4B904-6ABE-4C3C-8CD2-82364A25FEEA}" name="standard deviation (%)"/>
    <tableColumn id="7" xr3:uid="{50AFC49B-B73A-46DB-AEBE-A6E05B3AAFED}" name="positive movements"/>
    <tableColumn id="8" xr3:uid="{C8328DD4-9908-49F3-8534-E5608E157BD4}" name="Positive movements (%)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55327-8489-4E8F-86E0-8CD4BC2EDC47}" name="Table2" displayName="Table2" ref="A1:G41" totalsRowShown="0">
  <autoFilter ref="A1:G41" xr:uid="{E2655327-8489-4E8F-86E0-8CD4BC2EDC47}"/>
  <tableColumns count="7">
    <tableColumn id="3" xr3:uid="{1E9979D9-8758-4A1A-A95B-851FC7D018E8}" name="Condition"/>
    <tableColumn id="4" xr3:uid="{EB035C2E-6E3A-430F-AFC2-71D4F2BA6211}" name="Minutes Forward"/>
    <tableColumn id="7" xr3:uid="{8B3B7419-A016-45B5-9C3F-BF44A1FEF236}" name="Estimate (%)"/>
    <tableColumn id="13" xr3:uid="{E93E1620-0DC3-40D1-9FA7-302CB1D727DE}" name="Direction"/>
    <tableColumn id="14" xr3:uid="{63FC73B8-5678-4B82-9C38-F877FB92CA0A}" name="Adjusted p-value"/>
    <tableColumn id="15" xr3:uid="{240E5F8C-BBE7-441C-B36A-51E6C545D6C0}" name="Significant at 5%"/>
    <tableColumn id="16" xr3:uid="{B631B5CF-5D00-4901-8D95-B2C7A9FE788A}" name="Significant after adjustmen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652FE-36B0-45FF-8F64-18C8308EEE14}" name="Table1" displayName="Table1" ref="A1:D11" totalsRowShown="0">
  <autoFilter ref="A1:D11" xr:uid="{289652FE-36B0-45FF-8F64-18C8308EEE14}"/>
  <tableColumns count="4">
    <tableColumn id="1" xr3:uid="{2685F71C-D062-4981-8173-25643A10D7C0}" name="Condition"/>
    <tableColumn id="2" xr3:uid="{113B18FF-3889-459C-A932-84120A8439BD}" name="Minutes Forward"/>
    <tableColumn id="3" xr3:uid="{E7C8AF0E-97D3-4FFB-A2DE-A46627C2F0C4}" name="Pearson Correlation" dataDxfId="10"/>
    <tableColumn id="4" xr3:uid="{A9BCC250-8A85-4CFA-90DF-2EA9CD236E6E}" name="Spearman Correlation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3228-CA72-4AA0-80AA-3901F5740D07}">
  <dimension ref="A3:E44"/>
  <sheetViews>
    <sheetView topLeftCell="A7" workbookViewId="0">
      <selection activeCell="A36" sqref="A36:E44"/>
    </sheetView>
  </sheetViews>
  <sheetFormatPr defaultRowHeight="15" x14ac:dyDescent="0.25"/>
  <cols>
    <col min="1" max="1" width="28.140625" bestFit="1" customWidth="1"/>
    <col min="2" max="2" width="16.28515625" bestFit="1" customWidth="1"/>
    <col min="3" max="3" width="15.28515625" bestFit="1" customWidth="1"/>
    <col min="4" max="4" width="19.85546875" bestFit="1" customWidth="1"/>
    <col min="5" max="5" width="19.7109375" bestFit="1" customWidth="1"/>
    <col min="6" max="6" width="11.28515625" bestFit="1" customWidth="1"/>
    <col min="7" max="7" width="30.7109375" bestFit="1" customWidth="1"/>
    <col min="8" max="8" width="30.5703125" bestFit="1" customWidth="1"/>
    <col min="9" max="9" width="19.7109375" bestFit="1" customWidth="1"/>
    <col min="10" max="10" width="11.28515625" bestFit="1" customWidth="1"/>
    <col min="11" max="16" width="30.7109375" bestFit="1" customWidth="1"/>
    <col min="17" max="17" width="27.7109375" bestFit="1" customWidth="1"/>
    <col min="18" max="18" width="33.140625" bestFit="1" customWidth="1"/>
  </cols>
  <sheetData>
    <row r="3" spans="1:5" x14ac:dyDescent="0.25">
      <c r="A3" s="1" t="s">
        <v>40</v>
      </c>
      <c r="B3" s="1" t="s">
        <v>29</v>
      </c>
    </row>
    <row r="4" spans="1:5" x14ac:dyDescent="0.25">
      <c r="A4" s="1" t="s">
        <v>17</v>
      </c>
      <c r="B4" t="s">
        <v>8</v>
      </c>
      <c r="C4" t="s">
        <v>10</v>
      </c>
      <c r="D4" t="s">
        <v>9</v>
      </c>
      <c r="E4" t="s">
        <v>11</v>
      </c>
    </row>
    <row r="5" spans="1:5" x14ac:dyDescent="0.25">
      <c r="A5" s="2">
        <v>1</v>
      </c>
      <c r="B5" s="4">
        <v>-5.1971934235820524E-3</v>
      </c>
      <c r="C5" s="4">
        <v>5.5937250852081347E-3</v>
      </c>
      <c r="D5" s="4">
        <v>-1.4801324626297329E-2</v>
      </c>
      <c r="E5" s="4">
        <v>1.789442213720091E-2</v>
      </c>
    </row>
    <row r="6" spans="1:5" x14ac:dyDescent="0.25">
      <c r="A6" s="2">
        <v>5</v>
      </c>
      <c r="B6" s="4">
        <v>-7.3140473267019066E-3</v>
      </c>
      <c r="C6" s="4">
        <v>4.6036286554974458E-4</v>
      </c>
      <c r="D6" s="4">
        <v>-1.0985052866387211E-2</v>
      </c>
      <c r="E6" s="4">
        <v>1.7609506827897171E-2</v>
      </c>
    </row>
    <row r="7" spans="1:5" x14ac:dyDescent="0.25">
      <c r="A7" s="2">
        <v>15</v>
      </c>
      <c r="B7" s="4">
        <v>-1.3428775248083131E-2</v>
      </c>
      <c r="C7" s="4">
        <v>5.8412737981528564E-3</v>
      </c>
      <c r="D7" s="4">
        <v>-2.281163763997452E-2</v>
      </c>
      <c r="E7" s="4">
        <v>2.5537996268451491E-2</v>
      </c>
    </row>
    <row r="8" spans="1:5" x14ac:dyDescent="0.25">
      <c r="A8" s="2">
        <v>30</v>
      </c>
      <c r="B8" s="4">
        <v>-6.2380181544003759E-3</v>
      </c>
      <c r="C8" s="4">
        <v>8.8608736110272601E-3</v>
      </c>
      <c r="D8" s="4">
        <v>-2.076641333365339E-3</v>
      </c>
      <c r="E8" s="4">
        <v>5.382784732985809E-2</v>
      </c>
    </row>
    <row r="9" spans="1:5" x14ac:dyDescent="0.25">
      <c r="A9" s="2">
        <v>60</v>
      </c>
      <c r="B9" s="4">
        <v>-1.7761822306337871E-3</v>
      </c>
      <c r="C9" s="4">
        <v>9.4427333848067594E-3</v>
      </c>
      <c r="D9" s="4">
        <v>-1.024810673085152E-4</v>
      </c>
      <c r="E9" s="4">
        <v>6.9411689254838899E-2</v>
      </c>
    </row>
    <row r="10" spans="1:5" x14ac:dyDescent="0.25">
      <c r="A10" s="2">
        <v>240</v>
      </c>
      <c r="B10" s="4">
        <v>6.0301417344775614E-3</v>
      </c>
      <c r="C10" s="4">
        <v>-2.0401701703102279E-2</v>
      </c>
      <c r="D10" s="4">
        <v>-8.5306630909335931E-3</v>
      </c>
      <c r="E10" s="4">
        <v>3.016114081331743E-2</v>
      </c>
    </row>
    <row r="11" spans="1:5" x14ac:dyDescent="0.25">
      <c r="A11" s="2">
        <v>1440</v>
      </c>
      <c r="B11" s="4">
        <v>-0.1468398959288052</v>
      </c>
      <c r="C11" s="4">
        <v>-0.14554770011150869</v>
      </c>
      <c r="D11" s="4">
        <v>-0.10152635218663229</v>
      </c>
      <c r="E11" s="4">
        <v>-2.376398125293363E-3</v>
      </c>
    </row>
    <row r="14" spans="1:5" x14ac:dyDescent="0.25">
      <c r="A14" s="1" t="s">
        <v>39</v>
      </c>
      <c r="B14" s="1" t="s">
        <v>29</v>
      </c>
    </row>
    <row r="15" spans="1:5" x14ac:dyDescent="0.25">
      <c r="A15" s="1" t="s">
        <v>38</v>
      </c>
      <c r="B15" t="s">
        <v>8</v>
      </c>
      <c r="C15" t="s">
        <v>10</v>
      </c>
      <c r="D15" t="s">
        <v>9</v>
      </c>
      <c r="E15" t="s">
        <v>11</v>
      </c>
    </row>
    <row r="16" spans="1:5" x14ac:dyDescent="0.25">
      <c r="A16" s="2">
        <v>1</v>
      </c>
      <c r="B16" s="4">
        <v>-6.645914057090696E-3</v>
      </c>
      <c r="C16" s="4">
        <v>6.0702206751805932E-3</v>
      </c>
      <c r="D16" s="4">
        <v>-1.295613106228055E-2</v>
      </c>
      <c r="E16" s="4">
        <v>1.543175599668656E-2</v>
      </c>
    </row>
    <row r="17" spans="1:5" x14ac:dyDescent="0.25">
      <c r="A17" s="2">
        <v>5</v>
      </c>
      <c r="B17" s="4">
        <v>-1.5324300318397819E-2</v>
      </c>
      <c r="C17" s="4">
        <v>7.5032704472288714E-3</v>
      </c>
      <c r="D17" s="4">
        <v>-2.7074998209497551E-2</v>
      </c>
      <c r="E17" s="4">
        <v>2.696350465407615E-2</v>
      </c>
    </row>
    <row r="18" spans="1:5" x14ac:dyDescent="0.25">
      <c r="A18" s="2">
        <v>15</v>
      </c>
      <c r="B18" s="4">
        <v>-2.0661233836266609E-2</v>
      </c>
      <c r="C18" s="4">
        <v>2.2208500808429399E-2</v>
      </c>
      <c r="D18" s="4">
        <v>-4.8937262348625048E-2</v>
      </c>
      <c r="E18" s="4">
        <v>4.212956330807982E-2</v>
      </c>
    </row>
    <row r="19" spans="1:5" x14ac:dyDescent="0.25">
      <c r="A19" s="2">
        <v>30</v>
      </c>
      <c r="B19" s="4">
        <v>-2.29697535005291E-2</v>
      </c>
      <c r="C19" s="4">
        <v>2.313304296966967E-2</v>
      </c>
      <c r="D19" s="4">
        <v>-4.052167389598238E-2</v>
      </c>
      <c r="E19" s="4">
        <v>4.5312503592953579E-2</v>
      </c>
    </row>
    <row r="20" spans="1:5" x14ac:dyDescent="0.25">
      <c r="A20" s="2">
        <v>60</v>
      </c>
      <c r="B20" s="4">
        <v>-2.0752429368148251E-2</v>
      </c>
      <c r="C20" s="4">
        <v>2.107530233586008E-2</v>
      </c>
      <c r="D20" s="4">
        <v>-5.0291167535937431E-2</v>
      </c>
      <c r="E20" s="4">
        <v>7.6031666023756994E-2</v>
      </c>
    </row>
    <row r="21" spans="1:5" x14ac:dyDescent="0.25">
      <c r="A21" s="2">
        <v>240</v>
      </c>
      <c r="B21" s="4">
        <v>-1.1711207339792921E-2</v>
      </c>
      <c r="C21" s="4">
        <v>3.2803792427471563E-2</v>
      </c>
      <c r="D21" s="4">
        <v>-8.0361155628777547E-2</v>
      </c>
      <c r="E21" s="4">
        <v>7.2242244136355716E-2</v>
      </c>
    </row>
    <row r="22" spans="1:5" x14ac:dyDescent="0.25">
      <c r="A22" s="2">
        <v>1440</v>
      </c>
      <c r="B22" s="4">
        <v>-6.4244983472727668E-2</v>
      </c>
      <c r="C22" s="4">
        <v>-5.7303495650229408E-2</v>
      </c>
      <c r="D22" s="4">
        <v>-0.18945179695891709</v>
      </c>
      <c r="E22" s="4">
        <v>3.3725282433905157E-2</v>
      </c>
    </row>
    <row r="25" spans="1:5" x14ac:dyDescent="0.25">
      <c r="A25" s="1" t="s">
        <v>41</v>
      </c>
      <c r="B25" s="1" t="s">
        <v>29</v>
      </c>
    </row>
    <row r="26" spans="1:5" x14ac:dyDescent="0.25">
      <c r="A26" s="1" t="s">
        <v>38</v>
      </c>
      <c r="B26" t="s">
        <v>8</v>
      </c>
      <c r="C26" t="s">
        <v>10</v>
      </c>
      <c r="D26" t="s">
        <v>9</v>
      </c>
      <c r="E26" t="s">
        <v>11</v>
      </c>
    </row>
    <row r="27" spans="1:5" x14ac:dyDescent="0.25">
      <c r="A27" s="2">
        <v>1</v>
      </c>
      <c r="B27" s="14">
        <v>46.044303797468359</v>
      </c>
      <c r="C27" s="14">
        <v>53.525584666783899</v>
      </c>
      <c r="D27" s="14">
        <v>44.903339191564143</v>
      </c>
      <c r="E27" s="14">
        <v>55.975395430579972</v>
      </c>
    </row>
    <row r="28" spans="1:5" x14ac:dyDescent="0.25">
      <c r="A28" s="2">
        <v>5</v>
      </c>
      <c r="B28" s="14">
        <v>45.516877637130797</v>
      </c>
      <c r="C28" s="14">
        <v>52.136451556180759</v>
      </c>
      <c r="D28" s="14">
        <v>44.5518453427065</v>
      </c>
      <c r="E28" s="14">
        <v>55.711775043936733</v>
      </c>
    </row>
    <row r="29" spans="1:5" x14ac:dyDescent="0.25">
      <c r="A29" s="2">
        <v>15</v>
      </c>
      <c r="B29" s="14">
        <v>45.88607594936709</v>
      </c>
      <c r="C29" s="14">
        <v>54.070687532969927</v>
      </c>
      <c r="D29" s="14">
        <v>42.794376098418283</v>
      </c>
      <c r="E29" s="14">
        <v>58.347978910369072</v>
      </c>
    </row>
    <row r="30" spans="1:5" x14ac:dyDescent="0.25">
      <c r="A30" s="2">
        <v>30</v>
      </c>
      <c r="B30" s="14">
        <v>46.958509142053437</v>
      </c>
      <c r="C30" s="14">
        <v>52.672292545710263</v>
      </c>
      <c r="D30" s="14">
        <v>45.079086115992972</v>
      </c>
      <c r="E30" s="14">
        <v>55.975395430579972</v>
      </c>
    </row>
    <row r="31" spans="1:5" x14ac:dyDescent="0.25">
      <c r="A31" s="2">
        <v>60</v>
      </c>
      <c r="B31" s="14">
        <v>47.819971870604782</v>
      </c>
      <c r="C31" s="14">
        <v>52.144866385372723</v>
      </c>
      <c r="D31" s="14">
        <v>46.309314586994716</v>
      </c>
      <c r="E31" s="14">
        <v>56.239015817223198</v>
      </c>
    </row>
    <row r="32" spans="1:5" x14ac:dyDescent="0.25">
      <c r="A32" s="2">
        <v>240</v>
      </c>
      <c r="B32" s="14">
        <v>49.129593810444867</v>
      </c>
      <c r="C32" s="14">
        <v>51.898734177215189</v>
      </c>
      <c r="D32" s="14">
        <v>46.572934973637963</v>
      </c>
      <c r="E32" s="14">
        <v>53.602811950790873</v>
      </c>
    </row>
    <row r="33" spans="1:5" x14ac:dyDescent="0.25">
      <c r="A33" s="2">
        <v>1440</v>
      </c>
      <c r="B33" s="14">
        <v>48.60719322990127</v>
      </c>
      <c r="C33" s="14">
        <v>48.517472643840463</v>
      </c>
      <c r="D33" s="14">
        <v>46.701846965699197</v>
      </c>
      <c r="E33" s="14">
        <v>50.661959399823473</v>
      </c>
    </row>
    <row r="36" spans="1:5" x14ac:dyDescent="0.25">
      <c r="A36" s="1" t="s">
        <v>30</v>
      </c>
      <c r="B36" s="1" t="s">
        <v>29</v>
      </c>
    </row>
    <row r="37" spans="1:5" x14ac:dyDescent="0.25">
      <c r="A37" s="1" t="s">
        <v>38</v>
      </c>
      <c r="B37" t="s">
        <v>8</v>
      </c>
      <c r="C37" t="s">
        <v>10</v>
      </c>
      <c r="D37" t="s">
        <v>9</v>
      </c>
      <c r="E37" t="s">
        <v>11</v>
      </c>
    </row>
    <row r="38" spans="1:5" x14ac:dyDescent="0.25">
      <c r="A38" s="2">
        <v>1</v>
      </c>
      <c r="B38" s="3">
        <v>0.1071770195612938</v>
      </c>
      <c r="C38" s="3">
        <v>0.1128335545359531</v>
      </c>
      <c r="D38" s="3">
        <v>0.14763952441811859</v>
      </c>
      <c r="E38" s="3">
        <v>0.16034703139041279</v>
      </c>
    </row>
    <row r="39" spans="1:5" x14ac:dyDescent="0.25">
      <c r="A39" s="2">
        <v>5</v>
      </c>
      <c r="B39" s="3">
        <v>0.2040275219223025</v>
      </c>
      <c r="C39" s="3">
        <v>0.25556256259770721</v>
      </c>
      <c r="D39" s="3">
        <v>0.25913388083859079</v>
      </c>
      <c r="E39" s="3">
        <v>0.40494275232610061</v>
      </c>
    </row>
    <row r="40" spans="1:5" x14ac:dyDescent="0.25">
      <c r="A40" s="2">
        <v>15</v>
      </c>
      <c r="B40" s="3">
        <v>0.36589508835858298</v>
      </c>
      <c r="C40" s="3">
        <v>0.39589709728564521</v>
      </c>
      <c r="D40" s="3">
        <v>0.42046094144859758</v>
      </c>
      <c r="E40" s="3">
        <v>0.57889415327711968</v>
      </c>
    </row>
    <row r="41" spans="1:5" x14ac:dyDescent="0.25">
      <c r="A41" s="2">
        <v>30</v>
      </c>
      <c r="B41" s="3">
        <v>0.46012954138353018</v>
      </c>
      <c r="C41" s="3">
        <v>0.52569048994599255</v>
      </c>
      <c r="D41" s="3">
        <v>0.57360770621031965</v>
      </c>
      <c r="E41" s="3">
        <v>0.7407981004174905</v>
      </c>
    </row>
    <row r="42" spans="1:5" x14ac:dyDescent="0.25">
      <c r="A42" s="2">
        <v>60</v>
      </c>
      <c r="B42" s="3">
        <v>0.63671855610245431</v>
      </c>
      <c r="C42" s="3">
        <v>0.67547255178547616</v>
      </c>
      <c r="D42" s="3">
        <v>0.77584318933075025</v>
      </c>
      <c r="E42" s="3">
        <v>0.88424589039793711</v>
      </c>
    </row>
    <row r="43" spans="1:5" x14ac:dyDescent="0.25">
      <c r="A43" s="2">
        <v>240</v>
      </c>
      <c r="B43" s="3">
        <v>1.1095643974092191</v>
      </c>
      <c r="C43" s="3">
        <v>1.164905290745393</v>
      </c>
      <c r="D43" s="3">
        <v>1.2514613170165301</v>
      </c>
      <c r="E43" s="3">
        <v>1.4060625329756009</v>
      </c>
    </row>
    <row r="44" spans="1:5" x14ac:dyDescent="0.25">
      <c r="A44" s="2">
        <v>1440</v>
      </c>
      <c r="B44" s="3">
        <v>2.4506222581196808</v>
      </c>
      <c r="C44" s="3">
        <v>2.493095033516179</v>
      </c>
      <c r="D44" s="3">
        <v>2.514356431778431</v>
      </c>
      <c r="E44" s="3">
        <v>2.8063748231797079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opLeftCell="A25" workbookViewId="0">
      <selection activeCell="K57" sqref="K56:K57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4" t="s">
        <v>7</v>
      </c>
    </row>
    <row r="2" spans="1:8" x14ac:dyDescent="0.25">
      <c r="A2" t="s">
        <v>8</v>
      </c>
      <c r="B2">
        <v>1</v>
      </c>
      <c r="C2">
        <v>5688</v>
      </c>
      <c r="D2" s="4">
        <v>-5.1971934235820524E-3</v>
      </c>
      <c r="E2" s="4">
        <v>-6.645914057090696E-3</v>
      </c>
      <c r="F2" s="3">
        <v>0.1071770195612938</v>
      </c>
      <c r="G2">
        <v>2619</v>
      </c>
      <c r="H2" s="14">
        <v>46.044303797468359</v>
      </c>
    </row>
    <row r="3" spans="1:8" x14ac:dyDescent="0.25">
      <c r="A3" t="s">
        <v>8</v>
      </c>
      <c r="B3">
        <v>5</v>
      </c>
      <c r="C3">
        <v>5688</v>
      </c>
      <c r="D3" s="4">
        <v>-7.3140473267019066E-3</v>
      </c>
      <c r="E3" s="4">
        <v>-1.5324300318397819E-2</v>
      </c>
      <c r="F3" s="3">
        <v>0.2040275219223025</v>
      </c>
      <c r="G3">
        <v>2589</v>
      </c>
      <c r="H3" s="14">
        <v>45.516877637130797</v>
      </c>
    </row>
    <row r="4" spans="1:8" x14ac:dyDescent="0.25">
      <c r="A4" t="s">
        <v>8</v>
      </c>
      <c r="B4">
        <v>15</v>
      </c>
      <c r="C4">
        <v>5688</v>
      </c>
      <c r="D4" s="4">
        <v>-1.3428775248083131E-2</v>
      </c>
      <c r="E4" s="4">
        <v>-2.0661233836266609E-2</v>
      </c>
      <c r="F4" s="3">
        <v>0.36589508835858298</v>
      </c>
      <c r="G4">
        <v>2610</v>
      </c>
      <c r="H4" s="14">
        <v>45.88607594936709</v>
      </c>
    </row>
    <row r="5" spans="1:8" x14ac:dyDescent="0.25">
      <c r="A5" t="s">
        <v>8</v>
      </c>
      <c r="B5">
        <v>30</v>
      </c>
      <c r="C5">
        <v>5688</v>
      </c>
      <c r="D5" s="4">
        <v>-6.2380181544003759E-3</v>
      </c>
      <c r="E5" s="4">
        <v>-2.29697535005291E-2</v>
      </c>
      <c r="F5" s="3">
        <v>0.46012954138353018</v>
      </c>
      <c r="G5">
        <v>2671</v>
      </c>
      <c r="H5" s="14">
        <v>46.958509142053437</v>
      </c>
    </row>
    <row r="6" spans="1:8" x14ac:dyDescent="0.25">
      <c r="A6" t="s">
        <v>8</v>
      </c>
      <c r="B6">
        <v>60</v>
      </c>
      <c r="C6">
        <v>5688</v>
      </c>
      <c r="D6" s="4">
        <v>-1.7761822306337871E-3</v>
      </c>
      <c r="E6" s="4">
        <v>-2.0752429368148251E-2</v>
      </c>
      <c r="F6" s="3">
        <v>0.63671855610245431</v>
      </c>
      <c r="G6">
        <v>2720</v>
      </c>
      <c r="H6" s="14">
        <v>47.819971870604782</v>
      </c>
    </row>
    <row r="7" spans="1:8" x14ac:dyDescent="0.25">
      <c r="A7" t="s">
        <v>8</v>
      </c>
      <c r="B7">
        <v>240</v>
      </c>
      <c r="C7">
        <v>5687</v>
      </c>
      <c r="D7" s="4">
        <v>6.0301417344775614E-3</v>
      </c>
      <c r="E7" s="4">
        <v>-1.1711207339792921E-2</v>
      </c>
      <c r="F7" s="3">
        <v>1.1095643974092191</v>
      </c>
      <c r="G7">
        <v>2794</v>
      </c>
      <c r="H7" s="14">
        <v>49.129593810444867</v>
      </c>
    </row>
    <row r="8" spans="1:8" x14ac:dyDescent="0.25">
      <c r="A8" t="s">
        <v>8</v>
      </c>
      <c r="B8">
        <v>1440</v>
      </c>
      <c r="C8">
        <v>5672</v>
      </c>
      <c r="D8" s="4">
        <v>-0.1468398959288052</v>
      </c>
      <c r="E8" s="4">
        <v>-6.4244983472727668E-2</v>
      </c>
      <c r="F8" s="3">
        <v>2.4506222581196808</v>
      </c>
      <c r="G8">
        <v>2757</v>
      </c>
      <c r="H8" s="14">
        <v>48.60719322990127</v>
      </c>
    </row>
    <row r="9" spans="1:8" x14ac:dyDescent="0.25">
      <c r="A9" t="s">
        <v>9</v>
      </c>
      <c r="B9">
        <v>1</v>
      </c>
      <c r="C9">
        <v>1138</v>
      </c>
      <c r="D9" s="4">
        <v>-1.4801324626297329E-2</v>
      </c>
      <c r="E9" s="4">
        <v>-1.295613106228055E-2</v>
      </c>
      <c r="F9" s="3">
        <v>0.14763952441811859</v>
      </c>
      <c r="G9">
        <v>511</v>
      </c>
      <c r="H9" s="14">
        <v>44.903339191564143</v>
      </c>
    </row>
    <row r="10" spans="1:8" x14ac:dyDescent="0.25">
      <c r="A10" t="s">
        <v>9</v>
      </c>
      <c r="B10">
        <v>5</v>
      </c>
      <c r="C10">
        <v>1138</v>
      </c>
      <c r="D10" s="4">
        <v>-1.0985052866387211E-2</v>
      </c>
      <c r="E10" s="4">
        <v>-2.7074998209497551E-2</v>
      </c>
      <c r="F10" s="3">
        <v>0.25913388083859079</v>
      </c>
      <c r="G10">
        <v>507</v>
      </c>
      <c r="H10" s="14">
        <v>44.5518453427065</v>
      </c>
    </row>
    <row r="11" spans="1:8" x14ac:dyDescent="0.25">
      <c r="A11" t="s">
        <v>9</v>
      </c>
      <c r="B11">
        <v>15</v>
      </c>
      <c r="C11">
        <v>1138</v>
      </c>
      <c r="D11" s="4">
        <v>-2.281163763997452E-2</v>
      </c>
      <c r="E11" s="4">
        <v>-4.8937262348625048E-2</v>
      </c>
      <c r="F11" s="3">
        <v>0.42046094144859758</v>
      </c>
      <c r="G11">
        <v>487</v>
      </c>
      <c r="H11" s="14">
        <v>42.794376098418283</v>
      </c>
    </row>
    <row r="12" spans="1:8" x14ac:dyDescent="0.25">
      <c r="A12" t="s">
        <v>9</v>
      </c>
      <c r="B12">
        <v>30</v>
      </c>
      <c r="C12">
        <v>1138</v>
      </c>
      <c r="D12" s="4">
        <v>-2.076641333365339E-3</v>
      </c>
      <c r="E12" s="4">
        <v>-4.052167389598238E-2</v>
      </c>
      <c r="F12" s="3">
        <v>0.57360770621031965</v>
      </c>
      <c r="G12">
        <v>513</v>
      </c>
      <c r="H12" s="14">
        <v>45.079086115992972</v>
      </c>
    </row>
    <row r="13" spans="1:8" x14ac:dyDescent="0.25">
      <c r="A13" t="s">
        <v>9</v>
      </c>
      <c r="B13">
        <v>60</v>
      </c>
      <c r="C13">
        <v>1138</v>
      </c>
      <c r="D13" s="4">
        <v>-1.024810673085152E-4</v>
      </c>
      <c r="E13" s="4">
        <v>-5.0291167535937431E-2</v>
      </c>
      <c r="F13" s="3">
        <v>0.77584318933075025</v>
      </c>
      <c r="G13">
        <v>527</v>
      </c>
      <c r="H13" s="14">
        <v>46.309314586994716</v>
      </c>
    </row>
    <row r="14" spans="1:8" x14ac:dyDescent="0.25">
      <c r="A14" t="s">
        <v>9</v>
      </c>
      <c r="B14">
        <v>240</v>
      </c>
      <c r="C14">
        <v>1138</v>
      </c>
      <c r="D14" s="4">
        <v>-8.5306630909335931E-3</v>
      </c>
      <c r="E14" s="4">
        <v>-8.0361155628777547E-2</v>
      </c>
      <c r="F14" s="3">
        <v>1.2514613170165301</v>
      </c>
      <c r="G14">
        <v>530</v>
      </c>
      <c r="H14" s="14">
        <v>46.572934973637963</v>
      </c>
    </row>
    <row r="15" spans="1:8" x14ac:dyDescent="0.25">
      <c r="A15" t="s">
        <v>9</v>
      </c>
      <c r="B15">
        <v>1440</v>
      </c>
      <c r="C15">
        <v>1137</v>
      </c>
      <c r="D15" s="4">
        <v>-0.10152635218663229</v>
      </c>
      <c r="E15" s="4">
        <v>-0.18945179695891709</v>
      </c>
      <c r="F15" s="3">
        <v>2.514356431778431</v>
      </c>
      <c r="G15">
        <v>531</v>
      </c>
      <c r="H15" s="14">
        <v>46.701846965699197</v>
      </c>
    </row>
    <row r="16" spans="1:8" x14ac:dyDescent="0.25">
      <c r="A16" t="s">
        <v>10</v>
      </c>
      <c r="B16">
        <v>1</v>
      </c>
      <c r="C16">
        <v>5687</v>
      </c>
      <c r="D16" s="4">
        <v>5.5937250852081347E-3</v>
      </c>
      <c r="E16" s="4">
        <v>6.0702206751805932E-3</v>
      </c>
      <c r="F16" s="3">
        <v>0.1128335545359531</v>
      </c>
      <c r="G16">
        <v>3044</v>
      </c>
      <c r="H16" s="14">
        <v>53.525584666783899</v>
      </c>
    </row>
    <row r="17" spans="1:8" x14ac:dyDescent="0.25">
      <c r="A17" t="s">
        <v>10</v>
      </c>
      <c r="B17">
        <v>5</v>
      </c>
      <c r="C17">
        <v>5687</v>
      </c>
      <c r="D17" s="4">
        <v>4.6036286554974458E-4</v>
      </c>
      <c r="E17" s="4">
        <v>7.5032704472288714E-3</v>
      </c>
      <c r="F17" s="3">
        <v>0.25556256259770721</v>
      </c>
      <c r="G17">
        <v>2965</v>
      </c>
      <c r="H17" s="14">
        <v>52.136451556180759</v>
      </c>
    </row>
    <row r="18" spans="1:8" x14ac:dyDescent="0.25">
      <c r="A18" t="s">
        <v>10</v>
      </c>
      <c r="B18">
        <v>15</v>
      </c>
      <c r="C18">
        <v>5687</v>
      </c>
      <c r="D18" s="4">
        <v>5.8412737981528564E-3</v>
      </c>
      <c r="E18" s="4">
        <v>2.2208500808429399E-2</v>
      </c>
      <c r="F18" s="3">
        <v>0.39589709728564521</v>
      </c>
      <c r="G18">
        <v>3075</v>
      </c>
      <c r="H18" s="14">
        <v>54.070687532969927</v>
      </c>
    </row>
    <row r="19" spans="1:8" x14ac:dyDescent="0.25">
      <c r="A19" t="s">
        <v>10</v>
      </c>
      <c r="B19">
        <v>30</v>
      </c>
      <c r="C19">
        <v>5688</v>
      </c>
      <c r="D19" s="4">
        <v>8.8608736110272601E-3</v>
      </c>
      <c r="E19" s="4">
        <v>2.313304296966967E-2</v>
      </c>
      <c r="F19" s="3">
        <v>0.52569048994599255</v>
      </c>
      <c r="G19">
        <v>2996</v>
      </c>
      <c r="H19" s="14">
        <v>52.672292545710263</v>
      </c>
    </row>
    <row r="20" spans="1:8" x14ac:dyDescent="0.25">
      <c r="A20" t="s">
        <v>10</v>
      </c>
      <c r="B20">
        <v>60</v>
      </c>
      <c r="C20">
        <v>5688</v>
      </c>
      <c r="D20" s="4">
        <v>9.4427333848067594E-3</v>
      </c>
      <c r="E20" s="4">
        <v>2.107530233586008E-2</v>
      </c>
      <c r="F20" s="3">
        <v>0.67547255178547616</v>
      </c>
      <c r="G20">
        <v>2966</v>
      </c>
      <c r="H20" s="14">
        <v>52.144866385372723</v>
      </c>
    </row>
    <row r="21" spans="1:8" x14ac:dyDescent="0.25">
      <c r="A21" t="s">
        <v>10</v>
      </c>
      <c r="B21">
        <v>240</v>
      </c>
      <c r="C21">
        <v>5688</v>
      </c>
      <c r="D21" s="4">
        <v>-2.0401701703102279E-2</v>
      </c>
      <c r="E21" s="4">
        <v>3.2803792427471563E-2</v>
      </c>
      <c r="F21" s="3">
        <v>1.164905290745393</v>
      </c>
      <c r="G21">
        <v>2952</v>
      </c>
      <c r="H21" s="14">
        <v>51.898734177215189</v>
      </c>
    </row>
    <row r="22" spans="1:8" x14ac:dyDescent="0.25">
      <c r="A22" t="s">
        <v>10</v>
      </c>
      <c r="B22">
        <v>1440</v>
      </c>
      <c r="C22">
        <v>5666</v>
      </c>
      <c r="D22" s="4">
        <v>-0.14554770011150869</v>
      </c>
      <c r="E22" s="4">
        <v>-5.7303495650229408E-2</v>
      </c>
      <c r="F22" s="3">
        <v>2.493095033516179</v>
      </c>
      <c r="G22">
        <v>2749</v>
      </c>
      <c r="H22" s="14">
        <v>48.517472643840463</v>
      </c>
    </row>
    <row r="23" spans="1:8" x14ac:dyDescent="0.25">
      <c r="A23" t="s">
        <v>11</v>
      </c>
      <c r="B23">
        <v>1</v>
      </c>
      <c r="C23">
        <v>1138</v>
      </c>
      <c r="D23" s="4">
        <v>1.789442213720091E-2</v>
      </c>
      <c r="E23" s="4">
        <v>1.543175599668656E-2</v>
      </c>
      <c r="F23" s="3">
        <v>0.16034703139041279</v>
      </c>
      <c r="G23">
        <v>637</v>
      </c>
      <c r="H23" s="14">
        <v>55.975395430579972</v>
      </c>
    </row>
    <row r="24" spans="1:8" x14ac:dyDescent="0.25">
      <c r="A24" t="s">
        <v>11</v>
      </c>
      <c r="B24">
        <v>5</v>
      </c>
      <c r="C24">
        <v>1138</v>
      </c>
      <c r="D24" s="4">
        <v>1.7609506827897171E-2</v>
      </c>
      <c r="E24" s="4">
        <v>2.696350465407615E-2</v>
      </c>
      <c r="F24" s="3">
        <v>0.40494275232610061</v>
      </c>
      <c r="G24">
        <v>634</v>
      </c>
      <c r="H24" s="14">
        <v>55.711775043936733</v>
      </c>
    </row>
    <row r="25" spans="1:8" x14ac:dyDescent="0.25">
      <c r="A25" t="s">
        <v>11</v>
      </c>
      <c r="B25">
        <v>15</v>
      </c>
      <c r="C25">
        <v>1138</v>
      </c>
      <c r="D25" s="4">
        <v>2.5537996268451491E-2</v>
      </c>
      <c r="E25" s="4">
        <v>4.212956330807982E-2</v>
      </c>
      <c r="F25" s="3">
        <v>0.57889415327711968</v>
      </c>
      <c r="G25">
        <v>664</v>
      </c>
      <c r="H25" s="14">
        <v>58.347978910369072</v>
      </c>
    </row>
    <row r="26" spans="1:8" x14ac:dyDescent="0.25">
      <c r="A26" t="s">
        <v>11</v>
      </c>
      <c r="B26">
        <v>30</v>
      </c>
      <c r="C26">
        <v>1138</v>
      </c>
      <c r="D26" s="4">
        <v>5.382784732985809E-2</v>
      </c>
      <c r="E26" s="4">
        <v>4.5312503592953579E-2</v>
      </c>
      <c r="F26" s="3">
        <v>0.7407981004174905</v>
      </c>
      <c r="G26">
        <v>637</v>
      </c>
      <c r="H26" s="14">
        <v>55.975395430579972</v>
      </c>
    </row>
    <row r="27" spans="1:8" x14ac:dyDescent="0.25">
      <c r="A27" t="s">
        <v>11</v>
      </c>
      <c r="B27">
        <v>60</v>
      </c>
      <c r="C27">
        <v>1138</v>
      </c>
      <c r="D27" s="4">
        <v>6.9411689254838899E-2</v>
      </c>
      <c r="E27" s="4">
        <v>7.6031666023756994E-2</v>
      </c>
      <c r="F27" s="3">
        <v>0.88424589039793711</v>
      </c>
      <c r="G27">
        <v>640</v>
      </c>
      <c r="H27" s="14">
        <v>56.239015817223198</v>
      </c>
    </row>
    <row r="28" spans="1:8" x14ac:dyDescent="0.25">
      <c r="A28" t="s">
        <v>11</v>
      </c>
      <c r="B28">
        <v>240</v>
      </c>
      <c r="C28">
        <v>1138</v>
      </c>
      <c r="D28" s="4">
        <v>3.016114081331743E-2</v>
      </c>
      <c r="E28" s="4">
        <v>7.2242244136355716E-2</v>
      </c>
      <c r="F28" s="3">
        <v>1.4060625329756009</v>
      </c>
      <c r="G28">
        <v>610</v>
      </c>
      <c r="H28" s="14">
        <v>53.602811950790873</v>
      </c>
    </row>
    <row r="29" spans="1:8" x14ac:dyDescent="0.25">
      <c r="A29" t="s">
        <v>11</v>
      </c>
      <c r="B29">
        <v>1440</v>
      </c>
      <c r="C29">
        <v>1133</v>
      </c>
      <c r="D29" s="4">
        <v>-2.376398125293363E-3</v>
      </c>
      <c r="E29" s="4">
        <v>3.3725282433905157E-2</v>
      </c>
      <c r="F29" s="3">
        <v>2.8063748231797079</v>
      </c>
      <c r="G29">
        <v>574</v>
      </c>
      <c r="H29" s="14">
        <v>50.661959399823473</v>
      </c>
    </row>
    <row r="30" spans="1:8" x14ac:dyDescent="0.25">
      <c r="A30" t="s">
        <v>12</v>
      </c>
      <c r="B30">
        <v>1</v>
      </c>
      <c r="C30">
        <v>5688</v>
      </c>
      <c r="D30" s="4">
        <v>5.4447537768993509E-4</v>
      </c>
      <c r="E30" s="4">
        <v>-8.7675933280184637E-5</v>
      </c>
      <c r="F30" s="3">
        <v>5.1514030679754977E-2</v>
      </c>
      <c r="G30">
        <v>2626</v>
      </c>
      <c r="H30" s="14">
        <v>46.167369901547119</v>
      </c>
    </row>
    <row r="31" spans="1:8" x14ac:dyDescent="0.25">
      <c r="A31" t="s">
        <v>12</v>
      </c>
      <c r="B31">
        <v>5</v>
      </c>
      <c r="C31">
        <v>5688</v>
      </c>
      <c r="D31" s="4">
        <v>5.1715286090168363E-5</v>
      </c>
      <c r="E31" s="4">
        <v>-1.9110042737191519E-3</v>
      </c>
      <c r="F31" s="3">
        <v>9.8394145821629156E-2</v>
      </c>
      <c r="G31">
        <v>2750</v>
      </c>
      <c r="H31" s="14">
        <v>48.347398030942337</v>
      </c>
    </row>
    <row r="32" spans="1:8" x14ac:dyDescent="0.25">
      <c r="A32" t="s">
        <v>12</v>
      </c>
      <c r="B32">
        <v>15</v>
      </c>
      <c r="C32">
        <v>5688</v>
      </c>
      <c r="D32" s="4">
        <v>-2.106097410692692E-3</v>
      </c>
      <c r="E32" s="4">
        <v>-4.8647094060161322E-3</v>
      </c>
      <c r="F32" s="3">
        <v>0.15381506381037779</v>
      </c>
      <c r="G32">
        <v>2722</v>
      </c>
      <c r="H32" s="14">
        <v>47.855133614627277</v>
      </c>
    </row>
    <row r="33" spans="1:8" x14ac:dyDescent="0.25">
      <c r="A33" t="s">
        <v>12</v>
      </c>
      <c r="B33">
        <v>30</v>
      </c>
      <c r="C33">
        <v>5687</v>
      </c>
      <c r="D33" s="4">
        <v>-2.6623590891386262E-3</v>
      </c>
      <c r="E33" s="4">
        <v>-5.9359051287621867E-3</v>
      </c>
      <c r="F33" s="3">
        <v>0.22124592946429711</v>
      </c>
      <c r="G33">
        <v>2746</v>
      </c>
      <c r="H33" s="14">
        <v>48.285563566027783</v>
      </c>
    </row>
    <row r="34" spans="1:8" x14ac:dyDescent="0.25">
      <c r="A34" t="s">
        <v>12</v>
      </c>
      <c r="B34">
        <v>60</v>
      </c>
      <c r="C34">
        <v>5688</v>
      </c>
      <c r="D34" s="4">
        <v>-3.044781909635183E-3</v>
      </c>
      <c r="E34" s="4">
        <v>-6.1796771397892858E-3</v>
      </c>
      <c r="F34" s="3">
        <v>0.32414604037223438</v>
      </c>
      <c r="G34">
        <v>2775</v>
      </c>
      <c r="H34" s="14">
        <v>48.786919831223628</v>
      </c>
    </row>
    <row r="35" spans="1:8" x14ac:dyDescent="0.25">
      <c r="A35" t="s">
        <v>12</v>
      </c>
      <c r="B35">
        <v>240</v>
      </c>
      <c r="C35">
        <v>5685</v>
      </c>
      <c r="D35" s="4">
        <v>-2.6120879113387648E-3</v>
      </c>
      <c r="E35" s="4">
        <v>3.050024893580527E-3</v>
      </c>
      <c r="F35" s="3">
        <v>0.68113340570032699</v>
      </c>
      <c r="G35">
        <v>2859</v>
      </c>
      <c r="H35" s="14">
        <v>50.290237467018471</v>
      </c>
    </row>
    <row r="36" spans="1:8" x14ac:dyDescent="0.25">
      <c r="A36" t="s">
        <v>12</v>
      </c>
      <c r="B36">
        <v>1440</v>
      </c>
      <c r="C36">
        <v>5682</v>
      </c>
      <c r="D36" s="4">
        <v>-5.3574761599955591E-2</v>
      </c>
      <c r="E36" s="4">
        <v>4.9733628572334883E-2</v>
      </c>
      <c r="F36" s="3">
        <v>1.8453500414036179</v>
      </c>
      <c r="G36">
        <v>2932</v>
      </c>
      <c r="H36" s="14">
        <v>51.601548750439989</v>
      </c>
    </row>
    <row r="37" spans="1:8" x14ac:dyDescent="0.25">
      <c r="A37" t="s">
        <v>13</v>
      </c>
      <c r="B37">
        <v>1</v>
      </c>
      <c r="C37">
        <v>5687</v>
      </c>
      <c r="D37" s="4">
        <v>1.466510747075239E-3</v>
      </c>
      <c r="E37" s="4">
        <v>9.3105448439878558E-5</v>
      </c>
      <c r="F37" s="3">
        <v>4.7326731804492907E-2</v>
      </c>
      <c r="G37">
        <v>2901</v>
      </c>
      <c r="H37" s="14">
        <v>51.011077896957978</v>
      </c>
    </row>
    <row r="38" spans="1:8" x14ac:dyDescent="0.25">
      <c r="A38" t="s">
        <v>13</v>
      </c>
      <c r="B38">
        <v>5</v>
      </c>
      <c r="C38">
        <v>5687</v>
      </c>
      <c r="D38" s="4">
        <v>-7.6631838163004136E-5</v>
      </c>
      <c r="E38" s="4">
        <v>1.5626924639633439E-3</v>
      </c>
      <c r="F38" s="3">
        <v>9.4980482435239669E-2</v>
      </c>
      <c r="G38">
        <v>2917</v>
      </c>
      <c r="H38" s="14">
        <v>51.292421311763668</v>
      </c>
    </row>
    <row r="39" spans="1:8" x14ac:dyDescent="0.25">
      <c r="A39" t="s">
        <v>13</v>
      </c>
      <c r="B39">
        <v>15</v>
      </c>
      <c r="C39">
        <v>5687</v>
      </c>
      <c r="D39" s="4">
        <v>1.1382382019305721E-3</v>
      </c>
      <c r="E39" s="4">
        <v>5.2853852278600399E-3</v>
      </c>
      <c r="F39" s="3">
        <v>0.16760301200492869</v>
      </c>
      <c r="G39">
        <v>2978</v>
      </c>
      <c r="H39" s="14">
        <v>52.365043080710393</v>
      </c>
    </row>
    <row r="40" spans="1:8" x14ac:dyDescent="0.25">
      <c r="A40" t="s">
        <v>13</v>
      </c>
      <c r="B40">
        <v>30</v>
      </c>
      <c r="C40">
        <v>5688</v>
      </c>
      <c r="D40" s="4">
        <v>7.2138178637871251E-3</v>
      </c>
      <c r="E40" s="4">
        <v>8.5699570043673567E-3</v>
      </c>
      <c r="F40" s="3">
        <v>0.22871730069696669</v>
      </c>
      <c r="G40">
        <v>2997</v>
      </c>
      <c r="H40" s="14">
        <v>52.689873417721522</v>
      </c>
    </row>
    <row r="41" spans="1:8" x14ac:dyDescent="0.25">
      <c r="A41" t="s">
        <v>13</v>
      </c>
      <c r="B41">
        <v>60</v>
      </c>
      <c r="C41">
        <v>5688</v>
      </c>
      <c r="D41" s="4">
        <v>1.026520516662467E-2</v>
      </c>
      <c r="E41" s="4">
        <v>8.2172811382563715E-3</v>
      </c>
      <c r="F41" s="3">
        <v>0.31255537395239241</v>
      </c>
      <c r="G41">
        <v>2948</v>
      </c>
      <c r="H41" s="14">
        <v>51.828410689170177</v>
      </c>
    </row>
    <row r="42" spans="1:8" x14ac:dyDescent="0.25">
      <c r="A42" t="s">
        <v>13</v>
      </c>
      <c r="B42">
        <v>240</v>
      </c>
      <c r="C42">
        <v>5685</v>
      </c>
      <c r="D42" s="4">
        <v>8.4234646982358011E-3</v>
      </c>
      <c r="E42" s="4">
        <v>2.6110391003109079E-2</v>
      </c>
      <c r="F42" s="3">
        <v>0.69254764985091222</v>
      </c>
      <c r="G42">
        <v>3000</v>
      </c>
      <c r="H42" s="14">
        <v>52.770448548812674</v>
      </c>
    </row>
    <row r="43" spans="1:8" x14ac:dyDescent="0.25">
      <c r="A43" t="s">
        <v>13</v>
      </c>
      <c r="B43">
        <v>1440</v>
      </c>
      <c r="C43">
        <v>5681</v>
      </c>
      <c r="D43" s="4">
        <v>-3.2674454922902073E-2</v>
      </c>
      <c r="E43" s="4">
        <v>8.8628157104131411E-2</v>
      </c>
      <c r="F43" s="3">
        <v>1.814943541993054</v>
      </c>
      <c r="G43">
        <v>3021</v>
      </c>
      <c r="H43" s="14">
        <v>53.177257525083611</v>
      </c>
    </row>
    <row r="44" spans="1:8" x14ac:dyDescent="0.25">
      <c r="A44" t="s">
        <v>14</v>
      </c>
      <c r="B44">
        <v>1</v>
      </c>
      <c r="C44">
        <v>1138</v>
      </c>
      <c r="D44" s="4">
        <v>-4.9364307331854057E-4</v>
      </c>
      <c r="E44" s="4">
        <v>-8.6329973292276208E-5</v>
      </c>
      <c r="F44" s="3">
        <v>4.0351338109483263E-2</v>
      </c>
      <c r="G44">
        <v>500</v>
      </c>
      <c r="H44" s="14">
        <v>43.936731107205617</v>
      </c>
    </row>
    <row r="45" spans="1:8" x14ac:dyDescent="0.25">
      <c r="A45" t="s">
        <v>14</v>
      </c>
      <c r="B45">
        <v>5</v>
      </c>
      <c r="C45">
        <v>1138</v>
      </c>
      <c r="D45" s="4">
        <v>3.3592745974229938E-4</v>
      </c>
      <c r="E45" s="4">
        <v>-2.9403697694441178E-4</v>
      </c>
      <c r="F45" s="3">
        <v>8.6716807842208934E-2</v>
      </c>
      <c r="G45">
        <v>556</v>
      </c>
      <c r="H45" s="14">
        <v>48.857644991212659</v>
      </c>
    </row>
    <row r="46" spans="1:8" x14ac:dyDescent="0.25">
      <c r="A46" t="s">
        <v>14</v>
      </c>
      <c r="B46">
        <v>15</v>
      </c>
      <c r="C46">
        <v>1138</v>
      </c>
      <c r="D46" s="4">
        <v>-1.791641783796407E-3</v>
      </c>
      <c r="E46" s="4">
        <v>-6.7014380230379089E-3</v>
      </c>
      <c r="F46" s="3">
        <v>0.12152780404430399</v>
      </c>
      <c r="G46">
        <v>525</v>
      </c>
      <c r="H46" s="14">
        <v>46.133567662565902</v>
      </c>
    </row>
    <row r="47" spans="1:8" x14ac:dyDescent="0.25">
      <c r="A47" t="s">
        <v>14</v>
      </c>
      <c r="B47">
        <v>30</v>
      </c>
      <c r="C47">
        <v>1138</v>
      </c>
      <c r="D47" s="4">
        <v>2.4057749994362259E-4</v>
      </c>
      <c r="E47" s="4">
        <v>-5.0756799591045176E-3</v>
      </c>
      <c r="F47" s="3">
        <v>0.17499442417723421</v>
      </c>
      <c r="G47">
        <v>551</v>
      </c>
      <c r="H47" s="14">
        <v>48.418277680140598</v>
      </c>
    </row>
    <row r="48" spans="1:8" x14ac:dyDescent="0.25">
      <c r="A48" t="s">
        <v>14</v>
      </c>
      <c r="B48">
        <v>60</v>
      </c>
      <c r="C48">
        <v>1138</v>
      </c>
      <c r="D48" s="4">
        <v>5.4076262107479215E-4</v>
      </c>
      <c r="E48" s="4">
        <v>-1.249895742979623E-2</v>
      </c>
      <c r="F48" s="3">
        <v>0.29554293681234622</v>
      </c>
      <c r="G48">
        <v>539</v>
      </c>
      <c r="H48" s="14">
        <v>47.363796133567668</v>
      </c>
    </row>
    <row r="49" spans="1:8" x14ac:dyDescent="0.25">
      <c r="A49" t="s">
        <v>14</v>
      </c>
      <c r="B49">
        <v>240</v>
      </c>
      <c r="C49">
        <v>1138</v>
      </c>
      <c r="D49" s="4">
        <v>1.946209300264749E-2</v>
      </c>
      <c r="E49" s="4">
        <v>4.478355248971333E-3</v>
      </c>
      <c r="F49" s="3">
        <v>0.57481001375103247</v>
      </c>
      <c r="G49">
        <v>576</v>
      </c>
      <c r="H49" s="14">
        <v>50.615114235500883</v>
      </c>
    </row>
    <row r="50" spans="1:8" x14ac:dyDescent="0.25">
      <c r="A50" t="s">
        <v>14</v>
      </c>
      <c r="B50">
        <v>1440</v>
      </c>
      <c r="C50">
        <v>1138</v>
      </c>
      <c r="D50" s="4">
        <v>9.4183378022888471E-3</v>
      </c>
      <c r="E50" s="4">
        <v>5.7400450041233952E-2</v>
      </c>
      <c r="F50" s="3">
        <v>1.686362104747827</v>
      </c>
      <c r="G50">
        <v>597</v>
      </c>
      <c r="H50" s="14">
        <v>52.460456942003518</v>
      </c>
    </row>
    <row r="51" spans="1:8" x14ac:dyDescent="0.25">
      <c r="A51" t="s">
        <v>15</v>
      </c>
      <c r="B51">
        <v>1</v>
      </c>
      <c r="C51">
        <v>1138</v>
      </c>
      <c r="D51" s="4">
        <v>3.3427220710511721E-3</v>
      </c>
      <c r="E51" s="4">
        <v>1.606093889217064E-4</v>
      </c>
      <c r="F51" s="3">
        <v>3.9846271327449848E-2</v>
      </c>
      <c r="G51">
        <v>599</v>
      </c>
      <c r="H51" s="14">
        <v>52.636203866432339</v>
      </c>
    </row>
    <row r="52" spans="1:8" x14ac:dyDescent="0.25">
      <c r="A52" t="s">
        <v>15</v>
      </c>
      <c r="B52">
        <v>5</v>
      </c>
      <c r="C52">
        <v>1138</v>
      </c>
      <c r="D52" s="4">
        <v>2.1786319470225128E-3</v>
      </c>
      <c r="E52" s="4">
        <v>3.8559636582724539E-3</v>
      </c>
      <c r="F52" s="3">
        <v>8.3195736762999226E-2</v>
      </c>
      <c r="G52">
        <v>612</v>
      </c>
      <c r="H52" s="14">
        <v>53.778558875219687</v>
      </c>
    </row>
    <row r="53" spans="1:8" x14ac:dyDescent="0.25">
      <c r="A53" t="s">
        <v>15</v>
      </c>
      <c r="B53">
        <v>15</v>
      </c>
      <c r="C53">
        <v>1138</v>
      </c>
      <c r="D53" s="4">
        <v>8.5421402086106341E-3</v>
      </c>
      <c r="E53" s="4">
        <v>8.4143195363761691E-3</v>
      </c>
      <c r="F53" s="3">
        <v>0.12141568625411001</v>
      </c>
      <c r="G53">
        <v>613</v>
      </c>
      <c r="H53" s="14">
        <v>53.866432337434098</v>
      </c>
    </row>
    <row r="54" spans="1:8" x14ac:dyDescent="0.25">
      <c r="A54" t="s">
        <v>15</v>
      </c>
      <c r="B54">
        <v>30</v>
      </c>
      <c r="C54">
        <v>1138</v>
      </c>
      <c r="D54" s="4">
        <v>1.465352255418517E-2</v>
      </c>
      <c r="E54" s="4">
        <v>1.3690709205671499E-2</v>
      </c>
      <c r="F54" s="3">
        <v>0.1709386516219607</v>
      </c>
      <c r="G54">
        <v>625</v>
      </c>
      <c r="H54" s="14">
        <v>54.920913884007028</v>
      </c>
    </row>
    <row r="55" spans="1:8" x14ac:dyDescent="0.25">
      <c r="A55" t="s">
        <v>15</v>
      </c>
      <c r="B55">
        <v>60</v>
      </c>
      <c r="C55">
        <v>1138</v>
      </c>
      <c r="D55" s="4">
        <v>2.6572408077154611E-2</v>
      </c>
      <c r="E55" s="4">
        <v>1.6288732506442031E-2</v>
      </c>
      <c r="F55" s="3">
        <v>0.25091214422282632</v>
      </c>
      <c r="G55">
        <v>614</v>
      </c>
      <c r="H55" s="14">
        <v>53.954305799648509</v>
      </c>
    </row>
    <row r="56" spans="1:8" x14ac:dyDescent="0.25">
      <c r="A56" t="s">
        <v>15</v>
      </c>
      <c r="B56">
        <v>240</v>
      </c>
      <c r="C56">
        <v>1137</v>
      </c>
      <c r="D56" s="4">
        <v>4.3637129960878492E-2</v>
      </c>
      <c r="E56" s="4">
        <v>4.4689529649466493E-2</v>
      </c>
      <c r="F56" s="3">
        <v>0.57281592067141252</v>
      </c>
      <c r="G56">
        <v>629</v>
      </c>
      <c r="H56" s="14">
        <v>55.321020228671948</v>
      </c>
    </row>
    <row r="57" spans="1:8" x14ac:dyDescent="0.25">
      <c r="A57" t="s">
        <v>15</v>
      </c>
      <c r="B57">
        <v>1440</v>
      </c>
      <c r="C57">
        <v>1136</v>
      </c>
      <c r="D57" s="4">
        <v>8.4113581823297132E-2</v>
      </c>
      <c r="E57" s="4">
        <v>0.1861122571553353</v>
      </c>
      <c r="F57" s="3">
        <v>1.565148229051436</v>
      </c>
      <c r="G57">
        <v>667</v>
      </c>
      <c r="H57" s="14">
        <v>58.714788732394361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5688</v>
      </c>
      <c r="D2">
        <v>-5.1971934235820524E-3</v>
      </c>
      <c r="E2">
        <v>-6.645914057090696E-3</v>
      </c>
      <c r="F2">
        <v>0.1071770195612938</v>
      </c>
      <c r="G2">
        <v>2619</v>
      </c>
      <c r="H2">
        <v>46.044303797468359</v>
      </c>
    </row>
    <row r="3" spans="1:8" x14ac:dyDescent="0.25">
      <c r="A3" t="s">
        <v>8</v>
      </c>
      <c r="B3">
        <v>5</v>
      </c>
      <c r="C3">
        <v>5688</v>
      </c>
      <c r="D3">
        <v>-7.3140473267019066E-3</v>
      </c>
      <c r="E3">
        <v>-1.5324300318397819E-2</v>
      </c>
      <c r="F3">
        <v>0.2040275219223025</v>
      </c>
      <c r="G3">
        <v>2589</v>
      </c>
      <c r="H3">
        <v>45.516877637130797</v>
      </c>
    </row>
    <row r="4" spans="1:8" x14ac:dyDescent="0.25">
      <c r="A4" t="s">
        <v>8</v>
      </c>
      <c r="B4">
        <v>15</v>
      </c>
      <c r="C4">
        <v>5688</v>
      </c>
      <c r="D4">
        <v>-1.3428775248083131E-2</v>
      </c>
      <c r="E4">
        <v>-2.0661233836266609E-2</v>
      </c>
      <c r="F4">
        <v>0.36589508835858298</v>
      </c>
      <c r="G4">
        <v>2610</v>
      </c>
      <c r="H4">
        <v>45.88607594936709</v>
      </c>
    </row>
    <row r="5" spans="1:8" x14ac:dyDescent="0.25">
      <c r="A5" t="s">
        <v>8</v>
      </c>
      <c r="B5">
        <v>30</v>
      </c>
      <c r="C5">
        <v>5688</v>
      </c>
      <c r="D5">
        <v>-6.2380181544003759E-3</v>
      </c>
      <c r="E5">
        <v>-2.29697535005291E-2</v>
      </c>
      <c r="F5">
        <v>0.46012954138353018</v>
      </c>
      <c r="G5">
        <v>2671</v>
      </c>
      <c r="H5">
        <v>46.958509142053437</v>
      </c>
    </row>
    <row r="6" spans="1:8" x14ac:dyDescent="0.25">
      <c r="A6" t="s">
        <v>8</v>
      </c>
      <c r="B6">
        <v>60</v>
      </c>
      <c r="C6">
        <v>5688</v>
      </c>
      <c r="D6">
        <v>-1.7761822306337871E-3</v>
      </c>
      <c r="E6">
        <v>-2.0752429368148251E-2</v>
      </c>
      <c r="F6">
        <v>0.63671855610245431</v>
      </c>
      <c r="G6">
        <v>2720</v>
      </c>
      <c r="H6">
        <v>47.819971870604782</v>
      </c>
    </row>
    <row r="7" spans="1:8" x14ac:dyDescent="0.25">
      <c r="A7" t="s">
        <v>8</v>
      </c>
      <c r="B7">
        <v>240</v>
      </c>
      <c r="C7">
        <v>5687</v>
      </c>
      <c r="D7">
        <v>6.0301417344775614E-3</v>
      </c>
      <c r="E7">
        <v>-1.1711207339792921E-2</v>
      </c>
      <c r="F7">
        <v>1.1095643974092191</v>
      </c>
      <c r="G7">
        <v>2794</v>
      </c>
      <c r="H7">
        <v>49.129593810444867</v>
      </c>
    </row>
    <row r="8" spans="1:8" x14ac:dyDescent="0.25">
      <c r="A8" t="s">
        <v>8</v>
      </c>
      <c r="B8">
        <v>1440</v>
      </c>
      <c r="C8">
        <v>5672</v>
      </c>
      <c r="D8">
        <v>-0.1468398959288052</v>
      </c>
      <c r="E8">
        <v>-6.4244983472727668E-2</v>
      </c>
      <c r="F8">
        <v>2.4506222581196808</v>
      </c>
      <c r="G8">
        <v>2757</v>
      </c>
      <c r="H8">
        <v>48.60719322990127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>
        <v>1</v>
      </c>
      <c r="C2">
        <v>1138</v>
      </c>
      <c r="D2">
        <v>-1.4801324626297329E-2</v>
      </c>
      <c r="E2">
        <v>-1.295613106228055E-2</v>
      </c>
      <c r="F2">
        <v>0.14763952441811859</v>
      </c>
      <c r="G2">
        <v>511</v>
      </c>
      <c r="H2">
        <v>44.903339191564143</v>
      </c>
    </row>
    <row r="3" spans="1:8" x14ac:dyDescent="0.25">
      <c r="A3" t="s">
        <v>9</v>
      </c>
      <c r="B3">
        <v>5</v>
      </c>
      <c r="C3">
        <v>1138</v>
      </c>
      <c r="D3">
        <v>-1.0985052866387211E-2</v>
      </c>
      <c r="E3">
        <v>-2.7074998209497551E-2</v>
      </c>
      <c r="F3">
        <v>0.25913388083859079</v>
      </c>
      <c r="G3">
        <v>507</v>
      </c>
      <c r="H3">
        <v>44.5518453427065</v>
      </c>
    </row>
    <row r="4" spans="1:8" x14ac:dyDescent="0.25">
      <c r="A4" t="s">
        <v>9</v>
      </c>
      <c r="B4">
        <v>15</v>
      </c>
      <c r="C4">
        <v>1138</v>
      </c>
      <c r="D4">
        <v>-2.281163763997452E-2</v>
      </c>
      <c r="E4">
        <v>-4.8937262348625048E-2</v>
      </c>
      <c r="F4">
        <v>0.42046094144859758</v>
      </c>
      <c r="G4">
        <v>487</v>
      </c>
      <c r="H4">
        <v>42.794376098418283</v>
      </c>
    </row>
    <row r="5" spans="1:8" x14ac:dyDescent="0.25">
      <c r="A5" t="s">
        <v>9</v>
      </c>
      <c r="B5">
        <v>30</v>
      </c>
      <c r="C5">
        <v>1138</v>
      </c>
      <c r="D5">
        <v>-2.076641333365339E-3</v>
      </c>
      <c r="E5">
        <v>-4.052167389598238E-2</v>
      </c>
      <c r="F5">
        <v>0.57360770621031965</v>
      </c>
      <c r="G5">
        <v>513</v>
      </c>
      <c r="H5">
        <v>45.079086115992972</v>
      </c>
    </row>
    <row r="6" spans="1:8" x14ac:dyDescent="0.25">
      <c r="A6" t="s">
        <v>9</v>
      </c>
      <c r="B6">
        <v>60</v>
      </c>
      <c r="C6">
        <v>1138</v>
      </c>
      <c r="D6">
        <v>-1.024810673085152E-4</v>
      </c>
      <c r="E6">
        <v>-5.0291167535937431E-2</v>
      </c>
      <c r="F6">
        <v>0.77584318933075025</v>
      </c>
      <c r="G6">
        <v>527</v>
      </c>
      <c r="H6">
        <v>46.309314586994716</v>
      </c>
    </row>
    <row r="7" spans="1:8" x14ac:dyDescent="0.25">
      <c r="A7" t="s">
        <v>9</v>
      </c>
      <c r="B7">
        <v>240</v>
      </c>
      <c r="C7">
        <v>1138</v>
      </c>
      <c r="D7">
        <v>-8.5306630909335931E-3</v>
      </c>
      <c r="E7">
        <v>-8.0361155628777547E-2</v>
      </c>
      <c r="F7">
        <v>1.2514613170165301</v>
      </c>
      <c r="G7">
        <v>530</v>
      </c>
      <c r="H7">
        <v>46.572934973637963</v>
      </c>
    </row>
    <row r="8" spans="1:8" x14ac:dyDescent="0.25">
      <c r="A8" t="s">
        <v>9</v>
      </c>
      <c r="B8">
        <v>1440</v>
      </c>
      <c r="C8">
        <v>1137</v>
      </c>
      <c r="D8">
        <v>-0.10152635218663229</v>
      </c>
      <c r="E8">
        <v>-0.18945179695891709</v>
      </c>
      <c r="F8">
        <v>2.514356431778431</v>
      </c>
      <c r="G8">
        <v>531</v>
      </c>
      <c r="H8">
        <v>46.701846965699197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1</v>
      </c>
      <c r="C2">
        <v>5687</v>
      </c>
      <c r="D2">
        <v>5.5937250852081347E-3</v>
      </c>
      <c r="E2">
        <v>6.0702206751805932E-3</v>
      </c>
      <c r="F2">
        <v>0.1128335545359531</v>
      </c>
      <c r="G2">
        <v>3044</v>
      </c>
      <c r="H2">
        <v>53.525584666783899</v>
      </c>
    </row>
    <row r="3" spans="1:8" x14ac:dyDescent="0.25">
      <c r="A3" t="s">
        <v>10</v>
      </c>
      <c r="B3">
        <v>5</v>
      </c>
      <c r="C3">
        <v>5687</v>
      </c>
      <c r="D3">
        <v>4.6036286554974458E-4</v>
      </c>
      <c r="E3">
        <v>7.5032704472288714E-3</v>
      </c>
      <c r="F3">
        <v>0.25556256259770721</v>
      </c>
      <c r="G3">
        <v>2965</v>
      </c>
      <c r="H3">
        <v>52.136451556180759</v>
      </c>
    </row>
    <row r="4" spans="1:8" x14ac:dyDescent="0.25">
      <c r="A4" t="s">
        <v>10</v>
      </c>
      <c r="B4">
        <v>15</v>
      </c>
      <c r="C4">
        <v>5687</v>
      </c>
      <c r="D4">
        <v>5.8412737981528564E-3</v>
      </c>
      <c r="E4">
        <v>2.2208500808429399E-2</v>
      </c>
      <c r="F4">
        <v>0.39589709728564521</v>
      </c>
      <c r="G4">
        <v>3075</v>
      </c>
      <c r="H4">
        <v>54.070687532969927</v>
      </c>
    </row>
    <row r="5" spans="1:8" x14ac:dyDescent="0.25">
      <c r="A5" t="s">
        <v>10</v>
      </c>
      <c r="B5">
        <v>30</v>
      </c>
      <c r="C5">
        <v>5688</v>
      </c>
      <c r="D5">
        <v>8.8608736110272601E-3</v>
      </c>
      <c r="E5">
        <v>2.313304296966967E-2</v>
      </c>
      <c r="F5">
        <v>0.52569048994599255</v>
      </c>
      <c r="G5">
        <v>2996</v>
      </c>
      <c r="H5">
        <v>52.672292545710263</v>
      </c>
    </row>
    <row r="6" spans="1:8" x14ac:dyDescent="0.25">
      <c r="A6" t="s">
        <v>10</v>
      </c>
      <c r="B6">
        <v>60</v>
      </c>
      <c r="C6">
        <v>5688</v>
      </c>
      <c r="D6">
        <v>9.4427333848067594E-3</v>
      </c>
      <c r="E6">
        <v>2.107530233586008E-2</v>
      </c>
      <c r="F6">
        <v>0.67547255178547616</v>
      </c>
      <c r="G6">
        <v>2966</v>
      </c>
      <c r="H6">
        <v>52.144866385372723</v>
      </c>
    </row>
    <row r="7" spans="1:8" x14ac:dyDescent="0.25">
      <c r="A7" t="s">
        <v>10</v>
      </c>
      <c r="B7">
        <v>240</v>
      </c>
      <c r="C7">
        <v>5688</v>
      </c>
      <c r="D7">
        <v>-2.0401701703102279E-2</v>
      </c>
      <c r="E7">
        <v>3.2803792427471563E-2</v>
      </c>
      <c r="F7">
        <v>1.164905290745393</v>
      </c>
      <c r="G7">
        <v>2952</v>
      </c>
      <c r="H7">
        <v>51.898734177215189</v>
      </c>
    </row>
    <row r="8" spans="1:8" x14ac:dyDescent="0.25">
      <c r="A8" t="s">
        <v>10</v>
      </c>
      <c r="B8">
        <v>1440</v>
      </c>
      <c r="C8">
        <v>5666</v>
      </c>
      <c r="D8">
        <v>-0.14554770011150869</v>
      </c>
      <c r="E8">
        <v>-5.7303495650229408E-2</v>
      </c>
      <c r="F8">
        <v>2.493095033516179</v>
      </c>
      <c r="G8">
        <v>2749</v>
      </c>
      <c r="H8">
        <v>48.517472643840463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</v>
      </c>
      <c r="B2">
        <v>1</v>
      </c>
      <c r="C2">
        <v>1138</v>
      </c>
      <c r="D2">
        <v>1.789442213720091E-2</v>
      </c>
      <c r="E2">
        <v>1.543175599668656E-2</v>
      </c>
      <c r="F2">
        <v>0.16034703139041279</v>
      </c>
      <c r="G2">
        <v>637</v>
      </c>
      <c r="H2">
        <v>55.975395430579972</v>
      </c>
    </row>
    <row r="3" spans="1:8" x14ac:dyDescent="0.25">
      <c r="A3" t="s">
        <v>11</v>
      </c>
      <c r="B3">
        <v>5</v>
      </c>
      <c r="C3">
        <v>1138</v>
      </c>
      <c r="D3">
        <v>1.7609506827897171E-2</v>
      </c>
      <c r="E3">
        <v>2.696350465407615E-2</v>
      </c>
      <c r="F3">
        <v>0.40494275232610061</v>
      </c>
      <c r="G3">
        <v>634</v>
      </c>
      <c r="H3">
        <v>55.711775043936733</v>
      </c>
    </row>
    <row r="4" spans="1:8" x14ac:dyDescent="0.25">
      <c r="A4" t="s">
        <v>11</v>
      </c>
      <c r="B4">
        <v>15</v>
      </c>
      <c r="C4">
        <v>1138</v>
      </c>
      <c r="D4">
        <v>2.5537996268451491E-2</v>
      </c>
      <c r="E4">
        <v>4.212956330807982E-2</v>
      </c>
      <c r="F4">
        <v>0.57889415327711968</v>
      </c>
      <c r="G4">
        <v>664</v>
      </c>
      <c r="H4">
        <v>58.347978910369072</v>
      </c>
    </row>
    <row r="5" spans="1:8" x14ac:dyDescent="0.25">
      <c r="A5" t="s">
        <v>11</v>
      </c>
      <c r="B5">
        <v>30</v>
      </c>
      <c r="C5">
        <v>1138</v>
      </c>
      <c r="D5">
        <v>5.382784732985809E-2</v>
      </c>
      <c r="E5">
        <v>4.5312503592953579E-2</v>
      </c>
      <c r="F5">
        <v>0.7407981004174905</v>
      </c>
      <c r="G5">
        <v>637</v>
      </c>
      <c r="H5">
        <v>55.975395430579972</v>
      </c>
    </row>
    <row r="6" spans="1:8" x14ac:dyDescent="0.25">
      <c r="A6" t="s">
        <v>11</v>
      </c>
      <c r="B6">
        <v>60</v>
      </c>
      <c r="C6">
        <v>1138</v>
      </c>
      <c r="D6">
        <v>6.9411689254838899E-2</v>
      </c>
      <c r="E6">
        <v>7.6031666023756994E-2</v>
      </c>
      <c r="F6">
        <v>0.88424589039793711</v>
      </c>
      <c r="G6">
        <v>640</v>
      </c>
      <c r="H6">
        <v>56.239015817223198</v>
      </c>
    </row>
    <row r="7" spans="1:8" x14ac:dyDescent="0.25">
      <c r="A7" t="s">
        <v>11</v>
      </c>
      <c r="B7">
        <v>240</v>
      </c>
      <c r="C7">
        <v>1138</v>
      </c>
      <c r="D7">
        <v>3.016114081331743E-2</v>
      </c>
      <c r="E7">
        <v>7.2242244136355716E-2</v>
      </c>
      <c r="F7">
        <v>1.4060625329756009</v>
      </c>
      <c r="G7">
        <v>610</v>
      </c>
      <c r="H7">
        <v>53.602811950790873</v>
      </c>
    </row>
    <row r="8" spans="1:8" x14ac:dyDescent="0.25">
      <c r="A8" t="s">
        <v>11</v>
      </c>
      <c r="B8">
        <v>1440</v>
      </c>
      <c r="C8">
        <v>1133</v>
      </c>
      <c r="D8">
        <v>-2.376398125293363E-3</v>
      </c>
      <c r="E8">
        <v>3.3725282433905157E-2</v>
      </c>
      <c r="F8">
        <v>2.8063748231797079</v>
      </c>
      <c r="G8">
        <v>574</v>
      </c>
      <c r="H8">
        <v>50.661959399823473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>
        <v>1</v>
      </c>
      <c r="C2">
        <v>5688</v>
      </c>
      <c r="D2">
        <v>5.4447537768993509E-4</v>
      </c>
      <c r="E2">
        <v>-8.7675933280184637E-5</v>
      </c>
      <c r="F2">
        <v>5.1514030679754977E-2</v>
      </c>
      <c r="G2">
        <v>2626</v>
      </c>
      <c r="H2">
        <v>46.167369901547119</v>
      </c>
    </row>
    <row r="3" spans="1:8" x14ac:dyDescent="0.25">
      <c r="A3" t="s">
        <v>12</v>
      </c>
      <c r="B3">
        <v>5</v>
      </c>
      <c r="C3">
        <v>5688</v>
      </c>
      <c r="D3">
        <v>5.1715286090168363E-5</v>
      </c>
      <c r="E3">
        <v>-1.9110042737191519E-3</v>
      </c>
      <c r="F3">
        <v>9.8394145821629156E-2</v>
      </c>
      <c r="G3">
        <v>2750</v>
      </c>
      <c r="H3">
        <v>48.347398030942337</v>
      </c>
    </row>
    <row r="4" spans="1:8" x14ac:dyDescent="0.25">
      <c r="A4" t="s">
        <v>12</v>
      </c>
      <c r="B4">
        <v>15</v>
      </c>
      <c r="C4">
        <v>5688</v>
      </c>
      <c r="D4">
        <v>-2.106097410692692E-3</v>
      </c>
      <c r="E4">
        <v>-4.8647094060161322E-3</v>
      </c>
      <c r="F4">
        <v>0.15381506381037779</v>
      </c>
      <c r="G4">
        <v>2722</v>
      </c>
      <c r="H4">
        <v>47.855133614627277</v>
      </c>
    </row>
    <row r="5" spans="1:8" x14ac:dyDescent="0.25">
      <c r="A5" t="s">
        <v>12</v>
      </c>
      <c r="B5">
        <v>30</v>
      </c>
      <c r="C5">
        <v>5687</v>
      </c>
      <c r="D5">
        <v>-2.6623590891386262E-3</v>
      </c>
      <c r="E5">
        <v>-5.9359051287621867E-3</v>
      </c>
      <c r="F5">
        <v>0.22124592946429711</v>
      </c>
      <c r="G5">
        <v>2746</v>
      </c>
      <c r="H5">
        <v>48.285563566027783</v>
      </c>
    </row>
    <row r="6" spans="1:8" x14ac:dyDescent="0.25">
      <c r="A6" t="s">
        <v>12</v>
      </c>
      <c r="B6">
        <v>60</v>
      </c>
      <c r="C6">
        <v>5688</v>
      </c>
      <c r="D6">
        <v>-3.044781909635183E-3</v>
      </c>
      <c r="E6">
        <v>-6.1796771397892858E-3</v>
      </c>
      <c r="F6">
        <v>0.32414604037223438</v>
      </c>
      <c r="G6">
        <v>2775</v>
      </c>
      <c r="H6">
        <v>48.786919831223628</v>
      </c>
    </row>
    <row r="7" spans="1:8" x14ac:dyDescent="0.25">
      <c r="A7" t="s">
        <v>12</v>
      </c>
      <c r="B7">
        <v>240</v>
      </c>
      <c r="C7">
        <v>5685</v>
      </c>
      <c r="D7">
        <v>-2.6120879113387648E-3</v>
      </c>
      <c r="E7">
        <v>3.050024893580527E-3</v>
      </c>
      <c r="F7">
        <v>0.68113340570032699</v>
      </c>
      <c r="G7">
        <v>2859</v>
      </c>
      <c r="H7">
        <v>50.290237467018471</v>
      </c>
    </row>
    <row r="8" spans="1:8" x14ac:dyDescent="0.25">
      <c r="A8" t="s">
        <v>12</v>
      </c>
      <c r="B8">
        <v>1440</v>
      </c>
      <c r="C8">
        <v>5682</v>
      </c>
      <c r="D8">
        <v>-5.3574761599955591E-2</v>
      </c>
      <c r="E8">
        <v>4.9733628572334883E-2</v>
      </c>
      <c r="F8">
        <v>1.8453500414036179</v>
      </c>
      <c r="G8">
        <v>2932</v>
      </c>
      <c r="H8">
        <v>51.601548750439989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</v>
      </c>
      <c r="B2">
        <v>1</v>
      </c>
      <c r="C2">
        <v>5687</v>
      </c>
      <c r="D2">
        <v>1.466510747075239E-3</v>
      </c>
      <c r="E2">
        <v>9.3105448439878558E-5</v>
      </c>
      <c r="F2">
        <v>4.7326731804492907E-2</v>
      </c>
      <c r="G2">
        <v>2901</v>
      </c>
      <c r="H2">
        <v>51.011077896957978</v>
      </c>
    </row>
    <row r="3" spans="1:8" x14ac:dyDescent="0.25">
      <c r="A3" t="s">
        <v>13</v>
      </c>
      <c r="B3">
        <v>5</v>
      </c>
      <c r="C3">
        <v>5687</v>
      </c>
      <c r="D3">
        <v>-7.6631838163004136E-5</v>
      </c>
      <c r="E3">
        <v>1.5626924639633439E-3</v>
      </c>
      <c r="F3">
        <v>9.4980482435239669E-2</v>
      </c>
      <c r="G3">
        <v>2917</v>
      </c>
      <c r="H3">
        <v>51.292421311763668</v>
      </c>
    </row>
    <row r="4" spans="1:8" x14ac:dyDescent="0.25">
      <c r="A4" t="s">
        <v>13</v>
      </c>
      <c r="B4">
        <v>15</v>
      </c>
      <c r="C4">
        <v>5687</v>
      </c>
      <c r="D4">
        <v>1.1382382019305721E-3</v>
      </c>
      <c r="E4">
        <v>5.2853852278600399E-3</v>
      </c>
      <c r="F4">
        <v>0.16760301200492869</v>
      </c>
      <c r="G4">
        <v>2978</v>
      </c>
      <c r="H4">
        <v>52.365043080710393</v>
      </c>
    </row>
    <row r="5" spans="1:8" x14ac:dyDescent="0.25">
      <c r="A5" t="s">
        <v>13</v>
      </c>
      <c r="B5">
        <v>30</v>
      </c>
      <c r="C5">
        <v>5688</v>
      </c>
      <c r="D5">
        <v>7.2138178637871251E-3</v>
      </c>
      <c r="E5">
        <v>8.5699570043673567E-3</v>
      </c>
      <c r="F5">
        <v>0.22871730069696669</v>
      </c>
      <c r="G5">
        <v>2997</v>
      </c>
      <c r="H5">
        <v>52.689873417721522</v>
      </c>
    </row>
    <row r="6" spans="1:8" x14ac:dyDescent="0.25">
      <c r="A6" t="s">
        <v>13</v>
      </c>
      <c r="B6">
        <v>60</v>
      </c>
      <c r="C6">
        <v>5688</v>
      </c>
      <c r="D6">
        <v>1.026520516662467E-2</v>
      </c>
      <c r="E6">
        <v>8.2172811382563715E-3</v>
      </c>
      <c r="F6">
        <v>0.31255537395239241</v>
      </c>
      <c r="G6">
        <v>2948</v>
      </c>
      <c r="H6">
        <v>51.828410689170177</v>
      </c>
    </row>
    <row r="7" spans="1:8" x14ac:dyDescent="0.25">
      <c r="A7" t="s">
        <v>13</v>
      </c>
      <c r="B7">
        <v>240</v>
      </c>
      <c r="C7">
        <v>5685</v>
      </c>
      <c r="D7">
        <v>8.4234646982358011E-3</v>
      </c>
      <c r="E7">
        <v>2.6110391003109079E-2</v>
      </c>
      <c r="F7">
        <v>0.69254764985091222</v>
      </c>
      <c r="G7">
        <v>3000</v>
      </c>
      <c r="H7">
        <v>52.770448548812674</v>
      </c>
    </row>
    <row r="8" spans="1:8" x14ac:dyDescent="0.25">
      <c r="A8" t="s">
        <v>13</v>
      </c>
      <c r="B8">
        <v>1440</v>
      </c>
      <c r="C8">
        <v>5681</v>
      </c>
      <c r="D8">
        <v>-3.2674454922902073E-2</v>
      </c>
      <c r="E8">
        <v>8.8628157104131411E-2</v>
      </c>
      <c r="F8">
        <v>1.814943541993054</v>
      </c>
      <c r="G8">
        <v>3021</v>
      </c>
      <c r="H8">
        <v>53.177257525083611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Q26" sqref="Q26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 t="s">
        <v>14</v>
      </c>
      <c r="B2">
        <v>1</v>
      </c>
      <c r="C2">
        <v>1138</v>
      </c>
      <c r="D2" s="3">
        <v>-4.9364307331854057E-4</v>
      </c>
      <c r="E2" s="3">
        <v>-8.6329973292276208E-5</v>
      </c>
      <c r="F2" s="3">
        <v>4.0351338109483263E-2</v>
      </c>
      <c r="G2">
        <v>500</v>
      </c>
      <c r="H2" s="14">
        <v>43.936731107205617</v>
      </c>
    </row>
    <row r="3" spans="1:8" x14ac:dyDescent="0.25">
      <c r="A3" s="3" t="s">
        <v>14</v>
      </c>
      <c r="B3">
        <v>5</v>
      </c>
      <c r="C3">
        <v>1138</v>
      </c>
      <c r="D3" s="3">
        <v>3.3592745974229938E-4</v>
      </c>
      <c r="E3" s="3">
        <v>-2.9403697694441178E-4</v>
      </c>
      <c r="F3" s="3">
        <v>8.6716807842208934E-2</v>
      </c>
      <c r="G3">
        <v>556</v>
      </c>
      <c r="H3" s="14">
        <v>48.857644991212659</v>
      </c>
    </row>
    <row r="4" spans="1:8" x14ac:dyDescent="0.25">
      <c r="A4" s="3" t="s">
        <v>14</v>
      </c>
      <c r="B4">
        <v>15</v>
      </c>
      <c r="C4">
        <v>1138</v>
      </c>
      <c r="D4" s="3">
        <v>-1.791641783796407E-3</v>
      </c>
      <c r="E4" s="3">
        <v>-6.7014380230379089E-3</v>
      </c>
      <c r="F4" s="3">
        <v>0.12152780404430399</v>
      </c>
      <c r="G4">
        <v>525</v>
      </c>
      <c r="H4" s="14">
        <v>46.133567662565902</v>
      </c>
    </row>
    <row r="5" spans="1:8" x14ac:dyDescent="0.25">
      <c r="A5" s="3" t="s">
        <v>14</v>
      </c>
      <c r="B5">
        <v>30</v>
      </c>
      <c r="C5">
        <v>1138</v>
      </c>
      <c r="D5" s="3">
        <v>2.4057749994362259E-4</v>
      </c>
      <c r="E5" s="3">
        <v>-5.0756799591045176E-3</v>
      </c>
      <c r="F5" s="3">
        <v>0.17499442417723421</v>
      </c>
      <c r="G5">
        <v>551</v>
      </c>
      <c r="H5" s="14">
        <v>48.418277680140598</v>
      </c>
    </row>
    <row r="6" spans="1:8" x14ac:dyDescent="0.25">
      <c r="A6" s="3" t="s">
        <v>14</v>
      </c>
      <c r="B6">
        <v>60</v>
      </c>
      <c r="C6">
        <v>1138</v>
      </c>
      <c r="D6" s="3">
        <v>5.4076262107479215E-4</v>
      </c>
      <c r="E6" s="3">
        <v>-1.249895742979623E-2</v>
      </c>
      <c r="F6" s="3">
        <v>0.29554293681234622</v>
      </c>
      <c r="G6">
        <v>539</v>
      </c>
      <c r="H6" s="14">
        <v>47.363796133567668</v>
      </c>
    </row>
    <row r="7" spans="1:8" x14ac:dyDescent="0.25">
      <c r="A7" s="3" t="s">
        <v>14</v>
      </c>
      <c r="B7">
        <v>240</v>
      </c>
      <c r="C7">
        <v>1138</v>
      </c>
      <c r="D7" s="3">
        <v>1.946209300264749E-2</v>
      </c>
      <c r="E7" s="3">
        <v>4.478355248971333E-3</v>
      </c>
      <c r="F7" s="3">
        <v>0.57481001375103247</v>
      </c>
      <c r="G7">
        <v>576</v>
      </c>
      <c r="H7" s="14">
        <v>50.615114235500883</v>
      </c>
    </row>
    <row r="8" spans="1:8" x14ac:dyDescent="0.25">
      <c r="A8" s="3" t="s">
        <v>14</v>
      </c>
      <c r="B8">
        <v>1440</v>
      </c>
      <c r="C8">
        <v>1138</v>
      </c>
      <c r="D8" s="3">
        <v>9.4183378022888471E-3</v>
      </c>
      <c r="E8" s="3">
        <v>5.7400450041233952E-2</v>
      </c>
      <c r="F8" s="3">
        <v>1.686362104747827</v>
      </c>
      <c r="G8">
        <v>597</v>
      </c>
      <c r="H8" s="14">
        <v>52.460456942003518</v>
      </c>
    </row>
    <row r="10" spans="1:8" x14ac:dyDescent="0.25">
      <c r="F10" s="3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sqref="A1:H8"/>
    </sheetView>
  </sheetViews>
  <sheetFormatPr defaultRowHeight="15" x14ac:dyDescent="0.25"/>
  <cols>
    <col min="1" max="1" width="11.5703125" customWidth="1"/>
    <col min="2" max="2" width="17.85546875" customWidth="1"/>
    <col min="4" max="4" width="23.28515625" customWidth="1"/>
    <col min="5" max="5" width="23" customWidth="1"/>
    <col min="6" max="6" width="23.140625" customWidth="1"/>
    <col min="7" max="7" width="21.285156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</v>
      </c>
      <c r="B2">
        <v>1</v>
      </c>
      <c r="C2">
        <v>1138</v>
      </c>
      <c r="D2">
        <v>3.3427220710511721E-3</v>
      </c>
      <c r="E2">
        <v>1.606093889217064E-4</v>
      </c>
      <c r="F2">
        <v>3.9846271327449848E-2</v>
      </c>
      <c r="G2">
        <v>599</v>
      </c>
      <c r="H2">
        <v>52.636203866432339</v>
      </c>
    </row>
    <row r="3" spans="1:8" x14ac:dyDescent="0.25">
      <c r="A3" t="s">
        <v>15</v>
      </c>
      <c r="B3">
        <v>5</v>
      </c>
      <c r="C3">
        <v>1138</v>
      </c>
      <c r="D3">
        <v>2.1786319470225128E-3</v>
      </c>
      <c r="E3">
        <v>3.8559636582724539E-3</v>
      </c>
      <c r="F3">
        <v>8.3195736762999226E-2</v>
      </c>
      <c r="G3">
        <v>612</v>
      </c>
      <c r="H3">
        <v>53.778558875219687</v>
      </c>
    </row>
    <row r="4" spans="1:8" x14ac:dyDescent="0.25">
      <c r="A4" t="s">
        <v>15</v>
      </c>
      <c r="B4">
        <v>15</v>
      </c>
      <c r="C4">
        <v>1138</v>
      </c>
      <c r="D4">
        <v>8.5421402086106341E-3</v>
      </c>
      <c r="E4">
        <v>8.4143195363761691E-3</v>
      </c>
      <c r="F4">
        <v>0.12141568625411001</v>
      </c>
      <c r="G4">
        <v>613</v>
      </c>
      <c r="H4">
        <v>53.866432337434098</v>
      </c>
    </row>
    <row r="5" spans="1:8" x14ac:dyDescent="0.25">
      <c r="A5" t="s">
        <v>15</v>
      </c>
      <c r="B5">
        <v>30</v>
      </c>
      <c r="C5">
        <v>1138</v>
      </c>
      <c r="D5">
        <v>1.465352255418517E-2</v>
      </c>
      <c r="E5">
        <v>1.3690709205671499E-2</v>
      </c>
      <c r="F5">
        <v>0.1709386516219607</v>
      </c>
      <c r="G5">
        <v>625</v>
      </c>
      <c r="H5">
        <v>54.920913884007028</v>
      </c>
    </row>
    <row r="6" spans="1:8" x14ac:dyDescent="0.25">
      <c r="A6" t="s">
        <v>15</v>
      </c>
      <c r="B6">
        <v>60</v>
      </c>
      <c r="C6">
        <v>1138</v>
      </c>
      <c r="D6">
        <v>2.6572408077154611E-2</v>
      </c>
      <c r="E6">
        <v>1.6288732506442031E-2</v>
      </c>
      <c r="F6">
        <v>0.25091214422282632</v>
      </c>
      <c r="G6">
        <v>614</v>
      </c>
      <c r="H6">
        <v>53.954305799648509</v>
      </c>
    </row>
    <row r="7" spans="1:8" x14ac:dyDescent="0.25">
      <c r="A7" t="s">
        <v>15</v>
      </c>
      <c r="B7">
        <v>240</v>
      </c>
      <c r="C7">
        <v>1137</v>
      </c>
      <c r="D7">
        <v>4.3637129960878492E-2</v>
      </c>
      <c r="E7">
        <v>4.4689529649466493E-2</v>
      </c>
      <c r="F7">
        <v>0.57281592067141252</v>
      </c>
      <c r="G7">
        <v>629</v>
      </c>
      <c r="H7">
        <v>55.321020228671948</v>
      </c>
    </row>
    <row r="8" spans="1:8" x14ac:dyDescent="0.25">
      <c r="A8" t="s">
        <v>15</v>
      </c>
      <c r="B8">
        <v>1440</v>
      </c>
      <c r="C8">
        <v>1136</v>
      </c>
      <c r="D8">
        <v>8.4113581823297132E-2</v>
      </c>
      <c r="E8">
        <v>0.1861122571553353</v>
      </c>
      <c r="F8">
        <v>1.565148229051436</v>
      </c>
      <c r="G8">
        <v>667</v>
      </c>
      <c r="H8">
        <v>58.714788732394361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1"/>
  <sheetViews>
    <sheetView workbookViewId="0">
      <selection activeCell="J17" sqref="J17"/>
    </sheetView>
  </sheetViews>
  <sheetFormatPr defaultRowHeight="15" x14ac:dyDescent="0.25"/>
  <cols>
    <col min="1" max="1" width="29.28515625" customWidth="1"/>
    <col min="2" max="2" width="18.140625" customWidth="1"/>
    <col min="3" max="3" width="11.5703125" customWidth="1"/>
    <col min="4" max="4" width="18.140625" customWidth="1"/>
    <col min="5" max="5" width="17.42578125" customWidth="1"/>
    <col min="6" max="6" width="15.5703125" customWidth="1"/>
    <col min="7" max="7" width="26.7109375" customWidth="1"/>
    <col min="8" max="8" width="20.140625" customWidth="1"/>
    <col min="9" max="9" width="11.28515625" customWidth="1"/>
    <col min="10" max="10" width="9.5703125" customWidth="1"/>
    <col min="11" max="11" width="14.28515625" customWidth="1"/>
    <col min="12" max="12" width="14.5703125" customWidth="1"/>
    <col min="13" max="13" width="11" customWidth="1"/>
    <col min="14" max="14" width="17.85546875" customWidth="1"/>
    <col min="15" max="15" width="17.28515625" customWidth="1"/>
    <col min="16" max="16" width="27.42578125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5">
      <c r="A2" t="s">
        <v>8</v>
      </c>
      <c r="B2">
        <v>1</v>
      </c>
      <c r="C2">
        <v>-5.1068073158317519E-3</v>
      </c>
      <c r="D2" t="s">
        <v>23</v>
      </c>
      <c r="E2">
        <v>1.3472875339545611E-2</v>
      </c>
      <c r="F2" t="b">
        <v>1</v>
      </c>
      <c r="G2" t="b">
        <v>1</v>
      </c>
    </row>
    <row r="3" spans="1:7" x14ac:dyDescent="0.25">
      <c r="A3" t="s">
        <v>10</v>
      </c>
      <c r="B3">
        <v>1</v>
      </c>
      <c r="C3">
        <v>5.6841111929559884E-3</v>
      </c>
      <c r="D3" t="s">
        <v>23</v>
      </c>
      <c r="E3">
        <v>6.1657686058466648E-3</v>
      </c>
      <c r="F3" t="b">
        <v>1</v>
      </c>
      <c r="G3" t="b">
        <v>1</v>
      </c>
    </row>
    <row r="4" spans="1:7" x14ac:dyDescent="0.25">
      <c r="A4" t="s">
        <v>8</v>
      </c>
      <c r="B4">
        <v>5</v>
      </c>
      <c r="C4">
        <v>-7.2371479178501936E-3</v>
      </c>
      <c r="D4" t="s">
        <v>23</v>
      </c>
      <c r="E4">
        <v>0.25049612932190662</v>
      </c>
      <c r="F4" t="b">
        <v>1</v>
      </c>
      <c r="G4" t="b">
        <v>0</v>
      </c>
    </row>
    <row r="5" spans="1:7" x14ac:dyDescent="0.25">
      <c r="A5" t="s">
        <v>10</v>
      </c>
      <c r="B5">
        <v>5</v>
      </c>
      <c r="C5">
        <v>5.372622743998229E-4</v>
      </c>
      <c r="D5" t="s">
        <v>23</v>
      </c>
      <c r="E5">
        <v>1</v>
      </c>
      <c r="F5" t="b">
        <v>0</v>
      </c>
      <c r="G5" t="b">
        <v>0</v>
      </c>
    </row>
    <row r="6" spans="1:7" x14ac:dyDescent="0.25">
      <c r="A6" t="s">
        <v>8</v>
      </c>
      <c r="B6">
        <v>15</v>
      </c>
      <c r="C6">
        <v>-1.2464648843886339E-2</v>
      </c>
      <c r="D6" t="s">
        <v>23</v>
      </c>
      <c r="E6">
        <v>0.53522007270475613</v>
      </c>
      <c r="F6" t="b">
        <v>1</v>
      </c>
      <c r="G6" t="b">
        <v>0</v>
      </c>
    </row>
    <row r="7" spans="1:7" x14ac:dyDescent="0.25">
      <c r="A7" t="s">
        <v>10</v>
      </c>
      <c r="B7">
        <v>15</v>
      </c>
      <c r="C7">
        <v>6.8054002023404713E-3</v>
      </c>
      <c r="D7" t="s">
        <v>23</v>
      </c>
      <c r="E7">
        <v>1</v>
      </c>
      <c r="F7" t="b">
        <v>0</v>
      </c>
      <c r="G7" t="b">
        <v>0</v>
      </c>
    </row>
    <row r="8" spans="1:7" x14ac:dyDescent="0.25">
      <c r="A8" t="s">
        <v>8</v>
      </c>
      <c r="B8">
        <v>30</v>
      </c>
      <c r="C8">
        <v>-3.3083124583648321E-3</v>
      </c>
      <c r="D8" t="s">
        <v>23</v>
      </c>
      <c r="E8">
        <v>1</v>
      </c>
      <c r="F8" t="b">
        <v>0</v>
      </c>
      <c r="G8" t="b">
        <v>0</v>
      </c>
    </row>
    <row r="9" spans="1:7" x14ac:dyDescent="0.25">
      <c r="A9" t="s">
        <v>10</v>
      </c>
      <c r="B9">
        <v>30</v>
      </c>
      <c r="C9">
        <v>1.179057930706371E-2</v>
      </c>
      <c r="D9" t="s">
        <v>23</v>
      </c>
      <c r="E9">
        <v>1</v>
      </c>
      <c r="F9" t="b">
        <v>0</v>
      </c>
      <c r="G9" t="b">
        <v>0</v>
      </c>
    </row>
    <row r="10" spans="1:7" x14ac:dyDescent="0.25">
      <c r="A10" t="s">
        <v>8</v>
      </c>
      <c r="B10">
        <v>60</v>
      </c>
      <c r="C10">
        <v>4.2224948344315519E-3</v>
      </c>
      <c r="D10" t="s">
        <v>24</v>
      </c>
      <c r="E10">
        <v>1</v>
      </c>
      <c r="F10" t="b">
        <v>0</v>
      </c>
      <c r="G10" t="b">
        <v>0</v>
      </c>
    </row>
    <row r="11" spans="1:7" x14ac:dyDescent="0.25">
      <c r="A11" t="s">
        <v>10</v>
      </c>
      <c r="B11">
        <v>60</v>
      </c>
      <c r="C11">
        <v>1.5441410449879411E-2</v>
      </c>
      <c r="D11" t="s">
        <v>23</v>
      </c>
      <c r="E11">
        <v>1</v>
      </c>
      <c r="F11" t="b">
        <v>0</v>
      </c>
      <c r="G11" t="b">
        <v>0</v>
      </c>
    </row>
    <row r="12" spans="1:7" x14ac:dyDescent="0.25">
      <c r="A12" t="s">
        <v>9</v>
      </c>
      <c r="B12">
        <v>1</v>
      </c>
      <c r="C12">
        <v>-1.470692302319313E-2</v>
      </c>
      <c r="D12" t="s">
        <v>23</v>
      </c>
      <c r="E12">
        <v>2.8181950978620599E-2</v>
      </c>
      <c r="F12" t="b">
        <v>1</v>
      </c>
      <c r="G12" t="b">
        <v>1</v>
      </c>
    </row>
    <row r="13" spans="1:7" x14ac:dyDescent="0.25">
      <c r="A13" t="s">
        <v>11</v>
      </c>
      <c r="B13">
        <v>1</v>
      </c>
      <c r="C13">
        <v>1.798882374030919E-2</v>
      </c>
      <c r="D13" t="s">
        <v>23</v>
      </c>
      <c r="E13">
        <v>6.0368081220202926E-3</v>
      </c>
      <c r="F13" t="b">
        <v>1</v>
      </c>
      <c r="G13" t="b">
        <v>1</v>
      </c>
    </row>
    <row r="14" spans="1:7" x14ac:dyDescent="0.25">
      <c r="A14" t="s">
        <v>9</v>
      </c>
      <c r="B14">
        <v>5</v>
      </c>
      <c r="C14">
        <v>-1.0497102501607651E-2</v>
      </c>
      <c r="D14" t="s">
        <v>23</v>
      </c>
      <c r="E14">
        <v>1</v>
      </c>
      <c r="F14" t="b">
        <v>0</v>
      </c>
      <c r="G14" t="b">
        <v>0</v>
      </c>
    </row>
    <row r="15" spans="1:7" x14ac:dyDescent="0.25">
      <c r="A15" t="s">
        <v>11</v>
      </c>
      <c r="B15">
        <v>5</v>
      </c>
      <c r="C15">
        <v>1.8097457192666599E-2</v>
      </c>
      <c r="D15" t="s">
        <v>23</v>
      </c>
      <c r="E15">
        <v>1</v>
      </c>
      <c r="F15" t="b">
        <v>0</v>
      </c>
      <c r="G15" t="b">
        <v>0</v>
      </c>
    </row>
    <row r="16" spans="1:7" x14ac:dyDescent="0.25">
      <c r="A16" t="s">
        <v>9</v>
      </c>
      <c r="B16">
        <v>15</v>
      </c>
      <c r="C16">
        <v>-2.151116769838626E-2</v>
      </c>
      <c r="D16" t="s">
        <v>23</v>
      </c>
      <c r="E16">
        <v>1</v>
      </c>
      <c r="F16" t="b">
        <v>0</v>
      </c>
      <c r="G16" t="b">
        <v>0</v>
      </c>
    </row>
    <row r="17" spans="1:7" x14ac:dyDescent="0.25">
      <c r="A17" t="s">
        <v>11</v>
      </c>
      <c r="B17">
        <v>15</v>
      </c>
      <c r="C17">
        <v>2.6838466210050212E-2</v>
      </c>
      <c r="D17" t="s">
        <v>23</v>
      </c>
      <c r="E17">
        <v>1</v>
      </c>
      <c r="F17" t="b">
        <v>0</v>
      </c>
      <c r="G17" t="b">
        <v>0</v>
      </c>
    </row>
    <row r="18" spans="1:7" x14ac:dyDescent="0.25">
      <c r="A18" t="s">
        <v>9</v>
      </c>
      <c r="B18">
        <v>30</v>
      </c>
      <c r="C18">
        <v>1.008385017842091E-3</v>
      </c>
      <c r="D18" t="s">
        <v>24</v>
      </c>
      <c r="E18">
        <v>1</v>
      </c>
      <c r="F18" t="b">
        <v>0</v>
      </c>
      <c r="G18" t="b">
        <v>0</v>
      </c>
    </row>
    <row r="19" spans="1:7" x14ac:dyDescent="0.25">
      <c r="A19" t="s">
        <v>11</v>
      </c>
      <c r="B19">
        <v>30</v>
      </c>
      <c r="C19">
        <v>5.6912873681057928E-2</v>
      </c>
      <c r="D19" t="s">
        <v>23</v>
      </c>
      <c r="E19">
        <v>0.69891059297523428</v>
      </c>
      <c r="F19" t="b">
        <v>1</v>
      </c>
      <c r="G19" t="b">
        <v>0</v>
      </c>
    </row>
    <row r="20" spans="1:7" x14ac:dyDescent="0.25">
      <c r="A20" t="s">
        <v>9</v>
      </c>
      <c r="B20">
        <v>60</v>
      </c>
      <c r="C20">
        <v>5.7228552599512634E-3</v>
      </c>
      <c r="D20" t="s">
        <v>24</v>
      </c>
      <c r="E20">
        <v>1</v>
      </c>
      <c r="F20" t="b">
        <v>0</v>
      </c>
      <c r="G20" t="b">
        <v>0</v>
      </c>
    </row>
    <row r="21" spans="1:7" x14ac:dyDescent="0.25">
      <c r="A21" t="s">
        <v>11</v>
      </c>
      <c r="B21">
        <v>60</v>
      </c>
      <c r="C21">
        <v>7.523702558208914E-2</v>
      </c>
      <c r="D21" t="s">
        <v>23</v>
      </c>
      <c r="E21">
        <v>0.85563808067956848</v>
      </c>
      <c r="F21" t="b">
        <v>1</v>
      </c>
      <c r="G21" t="b">
        <v>0</v>
      </c>
    </row>
    <row r="22" spans="1:7" x14ac:dyDescent="0.25">
      <c r="A22" t="s">
        <v>12</v>
      </c>
      <c r="B22">
        <v>1</v>
      </c>
      <c r="C22">
        <v>7.2459721703451731E-4</v>
      </c>
      <c r="D22" t="s">
        <v>24</v>
      </c>
      <c r="E22">
        <v>1</v>
      </c>
      <c r="F22" t="b">
        <v>0</v>
      </c>
      <c r="G22" t="b">
        <v>0</v>
      </c>
    </row>
    <row r="23" spans="1:7" x14ac:dyDescent="0.25">
      <c r="A23" t="s">
        <v>13</v>
      </c>
      <c r="B23">
        <v>1</v>
      </c>
      <c r="C23">
        <v>1.6466325864191659E-3</v>
      </c>
      <c r="D23" t="s">
        <v>23</v>
      </c>
      <c r="E23">
        <v>0.37054971439884882</v>
      </c>
      <c r="F23" t="b">
        <v>1</v>
      </c>
      <c r="G23" t="b">
        <v>0</v>
      </c>
    </row>
    <row r="24" spans="1:7" x14ac:dyDescent="0.25">
      <c r="A24" t="s">
        <v>12</v>
      </c>
      <c r="B24">
        <v>5</v>
      </c>
      <c r="C24">
        <v>5.0801446307188367E-4</v>
      </c>
      <c r="D24" t="s">
        <v>24</v>
      </c>
      <c r="E24">
        <v>1</v>
      </c>
      <c r="F24" t="b">
        <v>0</v>
      </c>
      <c r="G24" t="b">
        <v>0</v>
      </c>
    </row>
    <row r="25" spans="1:7" x14ac:dyDescent="0.25">
      <c r="A25" t="s">
        <v>13</v>
      </c>
      <c r="B25">
        <v>5</v>
      </c>
      <c r="C25">
        <v>3.7966733881871861E-4</v>
      </c>
      <c r="D25" t="s">
        <v>23</v>
      </c>
      <c r="E25">
        <v>1</v>
      </c>
      <c r="F25" t="b">
        <v>0</v>
      </c>
      <c r="G25" t="b">
        <v>0</v>
      </c>
    </row>
    <row r="26" spans="1:7" x14ac:dyDescent="0.25">
      <c r="A26" t="s">
        <v>12</v>
      </c>
      <c r="B26">
        <v>15</v>
      </c>
      <c r="C26">
        <v>-7.7413483455094278E-4</v>
      </c>
      <c r="D26" t="s">
        <v>23</v>
      </c>
      <c r="E26">
        <v>1</v>
      </c>
      <c r="F26" t="b">
        <v>0</v>
      </c>
      <c r="G26" t="b">
        <v>0</v>
      </c>
    </row>
    <row r="27" spans="1:7" x14ac:dyDescent="0.25">
      <c r="A27" t="s">
        <v>13</v>
      </c>
      <c r="B27">
        <v>15</v>
      </c>
      <c r="C27">
        <v>2.4702007780702489E-3</v>
      </c>
      <c r="D27" t="s">
        <v>23</v>
      </c>
      <c r="E27">
        <v>1</v>
      </c>
      <c r="F27" t="b">
        <v>0</v>
      </c>
      <c r="G27" t="b">
        <v>0</v>
      </c>
    </row>
    <row r="28" spans="1:7" x14ac:dyDescent="0.25">
      <c r="A28" t="s">
        <v>12</v>
      </c>
      <c r="B28">
        <v>30</v>
      </c>
      <c r="C28">
        <v>3.7450118359938598E-4</v>
      </c>
      <c r="D28" t="s">
        <v>24</v>
      </c>
      <c r="E28">
        <v>1</v>
      </c>
      <c r="F28" t="b">
        <v>0</v>
      </c>
      <c r="G28" t="b">
        <v>0</v>
      </c>
    </row>
    <row r="29" spans="1:7" x14ac:dyDescent="0.25">
      <c r="A29" t="s">
        <v>13</v>
      </c>
      <c r="B29">
        <v>30</v>
      </c>
      <c r="C29">
        <v>1.025067813652417E-2</v>
      </c>
      <c r="D29" t="s">
        <v>23</v>
      </c>
      <c r="E29">
        <v>0.12048920715708759</v>
      </c>
      <c r="F29" t="b">
        <v>1</v>
      </c>
      <c r="G29" t="b">
        <v>0</v>
      </c>
    </row>
    <row r="30" spans="1:7" x14ac:dyDescent="0.25">
      <c r="A30" t="s">
        <v>12</v>
      </c>
      <c r="B30">
        <v>60</v>
      </c>
      <c r="C30">
        <v>2.9291056719231651E-3</v>
      </c>
      <c r="D30" t="s">
        <v>24</v>
      </c>
      <c r="E30">
        <v>1</v>
      </c>
      <c r="F30" t="b">
        <v>0</v>
      </c>
      <c r="G30" t="b">
        <v>0</v>
      </c>
    </row>
    <row r="31" spans="1:7" x14ac:dyDescent="0.25">
      <c r="A31" t="s">
        <v>13</v>
      </c>
      <c r="B31">
        <v>60</v>
      </c>
      <c r="C31">
        <v>1.623909274819332E-2</v>
      </c>
      <c r="D31" t="s">
        <v>23</v>
      </c>
      <c r="E31">
        <v>8.0176477353009507E-2</v>
      </c>
      <c r="F31" t="b">
        <v>1</v>
      </c>
      <c r="G31" t="b">
        <v>0</v>
      </c>
    </row>
    <row r="32" spans="1:7" x14ac:dyDescent="0.25">
      <c r="A32" t="s">
        <v>14</v>
      </c>
      <c r="B32">
        <v>1</v>
      </c>
      <c r="C32">
        <v>-4.0173246015719698E-4</v>
      </c>
      <c r="D32" t="s">
        <v>23</v>
      </c>
      <c r="E32">
        <v>1</v>
      </c>
      <c r="F32" t="b">
        <v>0</v>
      </c>
      <c r="G32" t="b">
        <v>0</v>
      </c>
    </row>
    <row r="33" spans="1:7" x14ac:dyDescent="0.25">
      <c r="A33" t="s">
        <v>15</v>
      </c>
      <c r="B33">
        <v>1</v>
      </c>
      <c r="C33">
        <v>3.4346326842131058E-3</v>
      </c>
      <c r="D33" t="s">
        <v>23</v>
      </c>
      <c r="E33">
        <v>0.13156118493291161</v>
      </c>
      <c r="F33" t="b">
        <v>1</v>
      </c>
      <c r="G33" t="b">
        <v>0</v>
      </c>
    </row>
    <row r="34" spans="1:7" x14ac:dyDescent="0.25">
      <c r="A34" t="s">
        <v>14</v>
      </c>
      <c r="B34">
        <v>5</v>
      </c>
      <c r="C34">
        <v>7.8192281991632461E-4</v>
      </c>
      <c r="D34" t="s">
        <v>24</v>
      </c>
      <c r="E34">
        <v>1</v>
      </c>
      <c r="F34" t="b">
        <v>0</v>
      </c>
      <c r="G34" t="b">
        <v>0</v>
      </c>
    </row>
    <row r="35" spans="1:7" x14ac:dyDescent="0.25">
      <c r="A35" t="s">
        <v>15</v>
      </c>
      <c r="B35">
        <v>5</v>
      </c>
      <c r="C35">
        <v>2.62462730719496E-3</v>
      </c>
      <c r="D35" t="s">
        <v>23</v>
      </c>
      <c r="E35">
        <v>1</v>
      </c>
      <c r="F35" t="b">
        <v>0</v>
      </c>
      <c r="G35" t="b">
        <v>0</v>
      </c>
    </row>
    <row r="36" spans="1:7" x14ac:dyDescent="0.25">
      <c r="A36" t="s">
        <v>14</v>
      </c>
      <c r="B36">
        <v>15</v>
      </c>
      <c r="C36">
        <v>-4.5009077317926762E-4</v>
      </c>
      <c r="D36" t="s">
        <v>23</v>
      </c>
      <c r="E36">
        <v>1</v>
      </c>
      <c r="F36" t="b">
        <v>0</v>
      </c>
      <c r="G36" t="b">
        <v>0</v>
      </c>
    </row>
    <row r="37" spans="1:7" x14ac:dyDescent="0.25">
      <c r="A37" t="s">
        <v>15</v>
      </c>
      <c r="B37">
        <v>15</v>
      </c>
      <c r="C37">
        <v>9.8836912192305157E-3</v>
      </c>
      <c r="D37" t="s">
        <v>23</v>
      </c>
      <c r="E37">
        <v>0.25049612932190662</v>
      </c>
      <c r="F37" t="b">
        <v>1</v>
      </c>
      <c r="G37" t="b">
        <v>0</v>
      </c>
    </row>
    <row r="38" spans="1:7" x14ac:dyDescent="0.25">
      <c r="A38" t="s">
        <v>14</v>
      </c>
      <c r="B38">
        <v>30</v>
      </c>
      <c r="C38">
        <v>2.949332116238493E-3</v>
      </c>
      <c r="D38" t="s">
        <v>24</v>
      </c>
      <c r="E38">
        <v>1</v>
      </c>
      <c r="F38" t="b">
        <v>0</v>
      </c>
      <c r="G38" t="b">
        <v>0</v>
      </c>
    </row>
    <row r="39" spans="1:7" x14ac:dyDescent="0.25">
      <c r="A39" t="s">
        <v>15</v>
      </c>
      <c r="B39">
        <v>30</v>
      </c>
      <c r="C39">
        <v>1.7362277170476139E-2</v>
      </c>
      <c r="D39" t="s">
        <v>23</v>
      </c>
      <c r="E39">
        <v>5.0664392556429641E-2</v>
      </c>
      <c r="F39" t="b">
        <v>1</v>
      </c>
      <c r="G39" t="b">
        <v>0</v>
      </c>
    </row>
    <row r="40" spans="1:7" x14ac:dyDescent="0.25">
      <c r="A40" t="s">
        <v>14</v>
      </c>
      <c r="B40">
        <v>60</v>
      </c>
      <c r="C40">
        <v>5.9352992294764203E-3</v>
      </c>
      <c r="D40" t="s">
        <v>24</v>
      </c>
      <c r="E40">
        <v>1</v>
      </c>
      <c r="F40" t="b">
        <v>0</v>
      </c>
      <c r="G40" t="b">
        <v>0</v>
      </c>
    </row>
    <row r="41" spans="1:7" x14ac:dyDescent="0.25">
      <c r="A41" t="s">
        <v>15</v>
      </c>
      <c r="B41">
        <v>60</v>
      </c>
      <c r="C41">
        <v>3.1966944685551113E-2</v>
      </c>
      <c r="D41" t="s">
        <v>23</v>
      </c>
      <c r="E41">
        <v>5.4851098732920846E-3</v>
      </c>
      <c r="F41" t="b">
        <v>1</v>
      </c>
      <c r="G41" t="b">
        <v>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D613-924B-4D1B-BAE7-E184878930E2}">
  <dimension ref="A1:G7"/>
  <sheetViews>
    <sheetView tabSelected="1" workbookViewId="0">
      <selection activeCell="R36" sqref="R36"/>
    </sheetView>
  </sheetViews>
  <sheetFormatPr defaultRowHeight="15" x14ac:dyDescent="0.25"/>
  <cols>
    <col min="1" max="1" width="31.140625" customWidth="1"/>
    <col min="3" max="3" width="14.28515625" customWidth="1"/>
    <col min="4" max="4" width="19.28515625" customWidth="1"/>
    <col min="5" max="5" width="16.7109375" customWidth="1"/>
    <col min="6" max="6" width="16.140625" customWidth="1"/>
    <col min="7" max="7" width="15.42578125" customWidth="1"/>
  </cols>
  <sheetData>
    <row r="1" spans="1:7" ht="15.75" thickBot="1" x14ac:dyDescent="0.3">
      <c r="A1" s="5" t="s">
        <v>16</v>
      </c>
      <c r="B1" s="6" t="s">
        <v>17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37</v>
      </c>
    </row>
    <row r="2" spans="1:7" ht="15.75" thickTop="1" x14ac:dyDescent="0.25">
      <c r="A2" s="7" t="s">
        <v>8</v>
      </c>
      <c r="B2" s="8">
        <v>1</v>
      </c>
      <c r="C2" s="8" t="s">
        <v>35</v>
      </c>
      <c r="D2" s="8">
        <v>5688</v>
      </c>
      <c r="E2" s="8">
        <v>29.56</v>
      </c>
      <c r="F2" s="13">
        <v>-11.08</v>
      </c>
      <c r="G2" s="8">
        <v>183</v>
      </c>
    </row>
    <row r="3" spans="1:7" x14ac:dyDescent="0.25">
      <c r="A3" s="9" t="s">
        <v>10</v>
      </c>
      <c r="B3" s="10">
        <v>1</v>
      </c>
      <c r="C3" s="10" t="s">
        <v>36</v>
      </c>
      <c r="D3" s="10">
        <v>5688</v>
      </c>
      <c r="E3" s="10">
        <v>31.81</v>
      </c>
      <c r="F3" s="10">
        <v>-1105</v>
      </c>
      <c r="G3" s="10">
        <v>191</v>
      </c>
    </row>
    <row r="4" spans="1:7" x14ac:dyDescent="0.25">
      <c r="A4" s="7" t="s">
        <v>9</v>
      </c>
      <c r="B4" s="8">
        <v>1</v>
      </c>
      <c r="C4" s="8" t="s">
        <v>35</v>
      </c>
      <c r="D4" s="8">
        <v>1138</v>
      </c>
      <c r="E4" s="8">
        <v>16.84</v>
      </c>
      <c r="F4" s="8">
        <v>-210.74</v>
      </c>
      <c r="G4" s="8">
        <v>79</v>
      </c>
    </row>
    <row r="5" spans="1:7" x14ac:dyDescent="0.25">
      <c r="A5" s="9" t="s">
        <v>11</v>
      </c>
      <c r="B5" s="10">
        <v>1</v>
      </c>
      <c r="C5" s="10" t="s">
        <v>36</v>
      </c>
      <c r="D5" s="10">
        <v>1138</v>
      </c>
      <c r="E5" s="10">
        <v>20.36</v>
      </c>
      <c r="F5" s="10">
        <v>-207.26</v>
      </c>
      <c r="G5" s="10">
        <v>99</v>
      </c>
    </row>
    <row r="6" spans="1:7" x14ac:dyDescent="0.25">
      <c r="A6" s="7" t="s">
        <v>15</v>
      </c>
      <c r="B6" s="8">
        <v>60</v>
      </c>
      <c r="C6" s="8" t="s">
        <v>36</v>
      </c>
      <c r="D6" s="8">
        <v>1138</v>
      </c>
      <c r="E6" s="8">
        <v>30.24</v>
      </c>
      <c r="F6" s="8">
        <v>-197.4</v>
      </c>
      <c r="G6" s="8">
        <v>188</v>
      </c>
    </row>
    <row r="7" spans="1:7" x14ac:dyDescent="0.25">
      <c r="A7" s="11"/>
      <c r="B7" s="12"/>
      <c r="C7" s="12"/>
      <c r="D7" s="12"/>
      <c r="E7" s="12"/>
      <c r="F7" s="12"/>
      <c r="G7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activeCell="O44" sqref="O44"/>
    </sheetView>
  </sheetViews>
  <sheetFormatPr defaultRowHeight="15" x14ac:dyDescent="0.25"/>
  <cols>
    <col min="1" max="1" width="11.5703125" customWidth="1"/>
    <col min="2" max="2" width="18.140625" customWidth="1"/>
    <col min="3" max="3" width="20.5703125" customWidth="1"/>
    <col min="4" max="4" width="22.28515625" customWidth="1"/>
  </cols>
  <sheetData>
    <row r="1" spans="1:4" x14ac:dyDescent="0.25">
      <c r="A1" t="s">
        <v>16</v>
      </c>
      <c r="B1" t="s">
        <v>17</v>
      </c>
      <c r="C1" t="s">
        <v>25</v>
      </c>
      <c r="D1" t="s">
        <v>26</v>
      </c>
    </row>
    <row r="2" spans="1:4" x14ac:dyDescent="0.25">
      <c r="A2" t="s">
        <v>27</v>
      </c>
      <c r="B2">
        <v>1</v>
      </c>
      <c r="C2" s="4">
        <v>-4.4811999669222627E-2</v>
      </c>
      <c r="D2" s="4">
        <v>-3.1054771662653389E-2</v>
      </c>
    </row>
    <row r="3" spans="1:4" x14ac:dyDescent="0.25">
      <c r="A3" t="s">
        <v>27</v>
      </c>
      <c r="B3">
        <v>5</v>
      </c>
      <c r="C3" s="4">
        <v>-1.411806984897059E-2</v>
      </c>
      <c r="D3" s="4">
        <v>-2.2559985069336971E-2</v>
      </c>
    </row>
    <row r="4" spans="1:4" x14ac:dyDescent="0.25">
      <c r="A4" t="s">
        <v>27</v>
      </c>
      <c r="B4">
        <v>15</v>
      </c>
      <c r="C4" s="4">
        <v>-2.3387534120390709E-2</v>
      </c>
      <c r="D4" s="4">
        <v>-2.435692203027566E-2</v>
      </c>
    </row>
    <row r="5" spans="1:4" x14ac:dyDescent="0.25">
      <c r="A5" t="s">
        <v>27</v>
      </c>
      <c r="B5">
        <v>30</v>
      </c>
      <c r="C5" s="4">
        <v>-1.6333491682790378E-2</v>
      </c>
      <c r="D5" s="4">
        <v>-2.3247774482074879E-2</v>
      </c>
    </row>
    <row r="6" spans="1:4" x14ac:dyDescent="0.25">
      <c r="A6" t="s">
        <v>27</v>
      </c>
      <c r="B6">
        <v>60</v>
      </c>
      <c r="C6" s="4">
        <v>-1.9013903955301129E-2</v>
      </c>
      <c r="D6" s="4">
        <v>-1.8243186376672011E-2</v>
      </c>
    </row>
    <row r="7" spans="1:4" x14ac:dyDescent="0.25">
      <c r="A7" t="s">
        <v>28</v>
      </c>
      <c r="B7">
        <v>1</v>
      </c>
      <c r="C7" s="4">
        <v>-1.121023941569382E-2</v>
      </c>
      <c r="D7" s="4">
        <v>-2.6749978550632221E-2</v>
      </c>
    </row>
    <row r="8" spans="1:4" x14ac:dyDescent="0.25">
      <c r="A8" t="s">
        <v>28</v>
      </c>
      <c r="B8">
        <v>5</v>
      </c>
      <c r="C8" s="4">
        <v>-3.6995153683839301E-3</v>
      </c>
      <c r="D8" s="4">
        <v>-1.7493488568745219E-2</v>
      </c>
    </row>
    <row r="9" spans="1:4" x14ac:dyDescent="0.25">
      <c r="A9" t="s">
        <v>28</v>
      </c>
      <c r="B9">
        <v>15</v>
      </c>
      <c r="C9" s="4">
        <v>-8.0402089609147142E-3</v>
      </c>
      <c r="D9" s="4">
        <v>-2.0753856988440719E-2</v>
      </c>
    </row>
    <row r="10" spans="1:4" x14ac:dyDescent="0.25">
      <c r="A10" t="s">
        <v>28</v>
      </c>
      <c r="B10">
        <v>30</v>
      </c>
      <c r="C10" s="4">
        <v>-1.103533080554051E-2</v>
      </c>
      <c r="D10" s="4">
        <v>-2.165487266903858E-2</v>
      </c>
    </row>
    <row r="11" spans="1:4" x14ac:dyDescent="0.25">
      <c r="A11" t="s">
        <v>28</v>
      </c>
      <c r="B11">
        <v>60</v>
      </c>
      <c r="C11" s="4">
        <v>-9.9457981351985178E-3</v>
      </c>
      <c r="D11" s="4">
        <v>-1.711591689024761E-2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All Results</vt:lpstr>
      <vt:lpstr>Raw Strong Buy</vt:lpstr>
      <vt:lpstr>Raw Very Strong Buy</vt:lpstr>
      <vt:lpstr>Raw Strong Sell</vt:lpstr>
      <vt:lpstr>Raw Very Strong Sell</vt:lpstr>
      <vt:lpstr>Normalised Strong Buy</vt:lpstr>
      <vt:lpstr>Normalised Strong Sell</vt:lpstr>
      <vt:lpstr>Normalised Very Buy</vt:lpstr>
      <vt:lpstr>Normalised Very Sell</vt:lpstr>
      <vt:lpstr>Statistics</vt:lpstr>
      <vt:lpstr>Economic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 leach</cp:lastModifiedBy>
  <dcterms:created xsi:type="dcterms:W3CDTF">2026-08-21T19:13:15Z</dcterms:created>
  <dcterms:modified xsi:type="dcterms:W3CDTF">2026-08-22T22:55:02Z</dcterms:modified>
</cp:coreProperties>
</file>