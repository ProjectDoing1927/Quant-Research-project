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aa3593c831a7a31/Documents/"/>
    </mc:Choice>
  </mc:AlternateContent>
  <xr:revisionPtr revIDLastSave="342" documentId="11_680EE90A2CF4D81AF519341ECC571442A64A56B5" xr6:coauthVersionLast="47" xr6:coauthVersionMax="47" xr10:uidLastSave="{BB6D6B14-7B86-433C-B19C-B72BE5230F91}"/>
  <bookViews>
    <workbookView xWindow="25490" yWindow="-110" windowWidth="38620" windowHeight="21100" firstSheet="2" activeTab="2" xr2:uid="{00000000-000D-0000-FFFF-FFFF00000000}"/>
  </bookViews>
  <sheets>
    <sheet name="Statistics (2)" sheetId="17" r:id="rId1"/>
    <sheet name="Sheet2" sheetId="2" r:id="rId2"/>
    <sheet name="Descriptive" sheetId="19" r:id="rId3"/>
    <sheet name="All Results" sheetId="3" r:id="rId4"/>
    <sheet name="Raw Strong Buy" sheetId="4" r:id="rId5"/>
    <sheet name="Raw Very Strong Buy" sheetId="5" r:id="rId6"/>
    <sheet name="Raw Strong Sell" sheetId="6" r:id="rId7"/>
    <sheet name="Raw Very Strong Sell" sheetId="7" r:id="rId8"/>
    <sheet name="Normalised Strong Buy" sheetId="8" r:id="rId9"/>
    <sheet name="Normalised Strong Sell" sheetId="9" r:id="rId10"/>
    <sheet name="Normalised Very Buy" sheetId="10" r:id="rId11"/>
    <sheet name="Normalised Very Sell" sheetId="11" r:id="rId12"/>
    <sheet name="Correlations" sheetId="14" r:id="rId13"/>
    <sheet name="Statistics" sheetId="15" r:id="rId14"/>
    <sheet name="Economic " sheetId="18" r:id="rId15"/>
  </sheets>
  <definedNames>
    <definedName name="_xlcn.WorksheetConnection_AllResultsA1H57" hidden="1">'All Results'!$A$1:$H$57</definedName>
    <definedName name="Economic">'Economic '!$1:$1</definedName>
  </definedNames>
  <calcPr calcId="0"/>
  <pivotCaches>
    <pivotCache cacheId="0" r:id="rId16"/>
    <pivotCache cacheId="1" r:id="rId1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ll Results!$A$1:$H$5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F18345-1EF4-480F-B8CC-1125CCBFC2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9E1909-C809-45D2-A349-2179EEBFACEA}" name="WorksheetConnection_All Results!$A$1:$H$5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llResultsA1H57"/>
        </x15:connection>
      </ext>
    </extLst>
  </connection>
</connections>
</file>

<file path=xl/sharedStrings.xml><?xml version="1.0" encoding="utf-8"?>
<sst xmlns="http://schemas.openxmlformats.org/spreadsheetml/2006/main" count="555" uniqueCount="55">
  <si>
    <t>Condition</t>
  </si>
  <si>
    <t>Minutes Forward</t>
  </si>
  <si>
    <t>Pearson Correlation</t>
  </si>
  <si>
    <t>Spearman Correlation</t>
  </si>
  <si>
    <t>delta</t>
  </si>
  <si>
    <t>normalised_delta</t>
  </si>
  <si>
    <t>Sum of standard deviation (%)</t>
  </si>
  <si>
    <t>Row Labels</t>
  </si>
  <si>
    <t>strong buy delta</t>
  </si>
  <si>
    <t>strong sell delta</t>
  </si>
  <si>
    <t>very strong buy delta</t>
  </si>
  <si>
    <t>very strong sell delta</t>
  </si>
  <si>
    <t>condition</t>
  </si>
  <si>
    <t>minutes forward</t>
  </si>
  <si>
    <t>events</t>
  </si>
  <si>
    <t>average movement(%)</t>
  </si>
  <si>
    <t>median movement(%)</t>
  </si>
  <si>
    <t>standard deviation (%)</t>
  </si>
  <si>
    <t>positive movements</t>
  </si>
  <si>
    <t>Positive movements (%)</t>
  </si>
  <si>
    <t>strong normalised buy delta</t>
  </si>
  <si>
    <t>strong normalised sell delta</t>
  </si>
  <si>
    <t>very strong normalised buy delta</t>
  </si>
  <si>
    <t>very strong normalised sell delta</t>
  </si>
  <si>
    <t>Measure</t>
  </si>
  <si>
    <t>Strength</t>
  </si>
  <si>
    <t>Observations</t>
  </si>
  <si>
    <t>Events</t>
  </si>
  <si>
    <t>HAC standard error</t>
  </si>
  <si>
    <t>t-statistic</t>
  </si>
  <si>
    <t>p-value</t>
  </si>
  <si>
    <t>95% CI lower</t>
  </si>
  <si>
    <t>95% CI upper</t>
  </si>
  <si>
    <t>Direction</t>
  </si>
  <si>
    <t>Adjusted p-value</t>
  </si>
  <si>
    <t>Significant at 5%</t>
  </si>
  <si>
    <t>Significant after adjustment</t>
  </si>
  <si>
    <t>Raw delta</t>
  </si>
  <si>
    <t>Strong</t>
  </si>
  <si>
    <t>Reversal</t>
  </si>
  <si>
    <t>Very strong</t>
  </si>
  <si>
    <t>Continuation</t>
  </si>
  <si>
    <t>Normalised delta</t>
  </si>
  <si>
    <t>Column Labels</t>
  </si>
  <si>
    <t>number</t>
  </si>
  <si>
    <t>Estimate</t>
  </si>
  <si>
    <t>Gross Return (%)</t>
  </si>
  <si>
    <t>Net profit (%)</t>
  </si>
  <si>
    <t>Profitable trades after fees</t>
  </si>
  <si>
    <t>Position</t>
  </si>
  <si>
    <t>Long</t>
  </si>
  <si>
    <t>Trades</t>
  </si>
  <si>
    <t>Sum of average movement(%)</t>
  </si>
  <si>
    <t>Sum of median movement(%)</t>
  </si>
  <si>
    <t>Sum of Positive movements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</si>
</sst>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0" xfId="0" applyFont="1" applyFill="1"/>
    <xf numFmtId="0" fontId="0" fillId="4" borderId="0" xfId="0" applyFill="1"/>
    <xf numFmtId="0" fontId="0" fillId="3" borderId="0" xfId="0" applyFill="1"/>
    <xf numFmtId="3" fontId="0" fillId="4" borderId="0" xfId="0" applyNumberFormat="1" applyFill="1"/>
    <xf numFmtId="3" fontId="0" fillId="3" borderId="0" xfId="0" applyNumberFormat="1" applyFill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3"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4" formatCode="0.0000"/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3"/>
        <name val="Calibri"/>
        <family val="2"/>
        <scheme val="minor"/>
      </font>
      <border outline="0">
        <left/>
        <right/>
        <top/>
        <bottom style="medium">
          <color theme="4" tint="0.39997558519241921"/>
        </bottom>
      </border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pivotSource>
    <c:name>[BTC_delta_results_1min.xlsx]Sheet2!PivotTable2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Sheet2!$A$5:$A$11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Sheet2!$B$5:$B$11</c:f>
              <c:numCache>
                <c:formatCode>0.0000</c:formatCode>
                <c:ptCount val="7"/>
                <c:pt idx="0">
                  <c:v>0.1044507565031591</c:v>
                </c:pt>
                <c:pt idx="1">
                  <c:v>0.20781740361506901</c:v>
                </c:pt>
                <c:pt idx="2">
                  <c:v>0.34648736080976561</c:v>
                </c:pt>
                <c:pt idx="3">
                  <c:v>0.4595133682060496</c:v>
                </c:pt>
                <c:pt idx="4">
                  <c:v>0.62792493743959943</c:v>
                </c:pt>
                <c:pt idx="5">
                  <c:v>1.108144474740999</c:v>
                </c:pt>
                <c:pt idx="6">
                  <c:v>2.4324268723119529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9-4283-A310-A53426CD2BB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Sheet2!$A$5:$A$11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Sheet2!$C$5:$C$11</c:f>
              <c:numCache>
                <c:formatCode>0.0000</c:formatCode>
                <c:ptCount val="7"/>
                <c:pt idx="0">
                  <c:v>0.1043635919944685</c:v>
                </c:pt>
                <c:pt idx="1">
                  <c:v>0.2276091748373692</c:v>
                </c:pt>
                <c:pt idx="2">
                  <c:v>0.35968413467553201</c:v>
                </c:pt>
                <c:pt idx="3">
                  <c:v>0.49736766595926007</c:v>
                </c:pt>
                <c:pt idx="4">
                  <c:v>0.64318697510638856</c:v>
                </c:pt>
                <c:pt idx="5">
                  <c:v>1.135746728342931</c:v>
                </c:pt>
                <c:pt idx="6">
                  <c:v>2.4082668517537851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9-4283-A310-A53426CD2BB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Sheet2!$A$5:$A$11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Sheet2!$D$5:$D$11</c:f>
              <c:numCache>
                <c:formatCode>0.0000</c:formatCode>
                <c:ptCount val="7"/>
                <c:pt idx="0">
                  <c:v>0.14028982668372711</c:v>
                </c:pt>
                <c:pt idx="1">
                  <c:v>0.24981523915221879</c:v>
                </c:pt>
                <c:pt idx="2">
                  <c:v>0.42802882950282439</c:v>
                </c:pt>
                <c:pt idx="3">
                  <c:v>0.54359248887718925</c:v>
                </c:pt>
                <c:pt idx="4">
                  <c:v>0.72815511978177805</c:v>
                </c:pt>
                <c:pt idx="5">
                  <c:v>1.2031594042708791</c:v>
                </c:pt>
                <c:pt idx="6">
                  <c:v>2.4945181990198169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9-4283-A310-A53426CD2BB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Sheet2!$A$5:$A$11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Sheet2!$E$5:$E$11</c:f>
              <c:numCache>
                <c:formatCode>0.0000</c:formatCode>
                <c:ptCount val="7"/>
                <c:pt idx="0">
                  <c:v>0.1527067866996869</c:v>
                </c:pt>
                <c:pt idx="1">
                  <c:v>0.33263429685487178</c:v>
                </c:pt>
                <c:pt idx="2">
                  <c:v>0.48273376527100731</c:v>
                </c:pt>
                <c:pt idx="3">
                  <c:v>0.64898699555287742</c:v>
                </c:pt>
                <c:pt idx="4">
                  <c:v>0.770470317493958</c:v>
                </c:pt>
                <c:pt idx="5">
                  <c:v>1.2717481732778091</c:v>
                </c:pt>
                <c:pt idx="6">
                  <c:v>2.627167052155428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9-4283-A310-A53426CD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916656"/>
        <c:axId val="1424820367"/>
      </c:lineChart>
      <c:catAx>
        <c:axId val="8409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20367"/>
        <c:crosses val="autoZero"/>
        <c:auto val="1"/>
        <c:lblAlgn val="ctr"/>
        <c:lblOffset val="100"/>
        <c:noMultiLvlLbl val="0"/>
      </c:catAx>
      <c:valAx>
        <c:axId val="14248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1665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[BTC_delta_results_1min.xlsx]Descriptive!PivotTable1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Descriptive!$B$3:$B$4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Descriptive!$A$5:$A$11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Descriptive!$B$5:$B$11</c:f>
              <c:numCache>
                <c:formatCode>0.000000</c:formatCode>
                <c:ptCount val="7"/>
                <c:pt idx="0">
                  <c:v>-1.650239108595148E-3</c:v>
                </c:pt>
                <c:pt idx="1">
                  <c:v>-4.762012170328336E-3</c:v>
                </c:pt>
                <c:pt idx="2">
                  <c:v>-5.4941101646227902E-3</c:v>
                </c:pt>
                <c:pt idx="3">
                  <c:v>-6.8585614397942444E-3</c:v>
                </c:pt>
                <c:pt idx="4">
                  <c:v>-7.5663974987770369E-3</c:v>
                </c:pt>
                <c:pt idx="5">
                  <c:v>-2.2294922792978521E-2</c:v>
                </c:pt>
                <c:pt idx="6">
                  <c:v>-0.1183637918425004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E-4510-8B21-AB3627E939BB}"/>
            </c:ext>
          </c:extLst>
        </c:ser>
        <c:ser>
          <c:idx val="1"/>
          <c:order val="1"/>
          <c:tx>
            <c:strRef>
              <c:f>Descriptive!$C$3:$C$4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Descriptive!$A$5:$A$11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Descriptive!$C$5:$C$11</c:f>
              <c:numCache>
                <c:formatCode>0.000000</c:formatCode>
                <c:ptCount val="7"/>
                <c:pt idx="0">
                  <c:v>1.9810167265755922E-3</c:v>
                </c:pt>
                <c:pt idx="1">
                  <c:v>3.8337734610364499E-3</c:v>
                </c:pt>
                <c:pt idx="2">
                  <c:v>5.9742369046577072E-3</c:v>
                </c:pt>
                <c:pt idx="3">
                  <c:v>8.8245718183424023E-3</c:v>
                </c:pt>
                <c:pt idx="4">
                  <c:v>1.124226463912472E-2</c:v>
                </c:pt>
                <c:pt idx="5">
                  <c:v>-8.5912158161840571E-3</c:v>
                </c:pt>
                <c:pt idx="6">
                  <c:v>-0.1170636742188346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4E-4510-8B21-AB3627E939BB}"/>
            </c:ext>
          </c:extLst>
        </c:ser>
        <c:ser>
          <c:idx val="2"/>
          <c:order val="2"/>
          <c:tx>
            <c:strRef>
              <c:f>Descriptive!$D$3:$D$4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Descriptive!$A$5:$A$11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Descriptive!$D$5:$D$11</c:f>
              <c:numCache>
                <c:formatCode>0.000000</c:formatCode>
                <c:ptCount val="7"/>
                <c:pt idx="0">
                  <c:v>-2.7717884572255359E-3</c:v>
                </c:pt>
                <c:pt idx="1">
                  <c:v>-6.7341490506833621E-3</c:v>
                </c:pt>
                <c:pt idx="2">
                  <c:v>-1.078728743992354E-2</c:v>
                </c:pt>
                <c:pt idx="3">
                  <c:v>-5.2478670063215906E-3</c:v>
                </c:pt>
                <c:pt idx="4">
                  <c:v>5.250424040773507E-3</c:v>
                </c:pt>
                <c:pt idx="5">
                  <c:v>-3.8871858827793241E-3</c:v>
                </c:pt>
                <c:pt idx="6">
                  <c:v>-9.3085072140675906E-2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4E-4510-8B21-AB3627E939BB}"/>
            </c:ext>
          </c:extLst>
        </c:ser>
        <c:ser>
          <c:idx val="3"/>
          <c:order val="3"/>
          <c:tx>
            <c:strRef>
              <c:f>Descriptive!$E$3:$E$4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Descriptive!$A$5:$A$11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Descriptive!$E$5:$E$11</c:f>
              <c:numCache>
                <c:formatCode>0.000000</c:formatCode>
                <c:ptCount val="7"/>
                <c:pt idx="0">
                  <c:v>4.6494571881581974E-3</c:v>
                </c:pt>
                <c:pt idx="1">
                  <c:v>9.2965531613180673E-3</c:v>
                </c:pt>
                <c:pt idx="2">
                  <c:v>1.7009794254949629E-2</c:v>
                </c:pt>
                <c:pt idx="3">
                  <c:v>2.297922168047439E-2</c:v>
                </c:pt>
                <c:pt idx="4">
                  <c:v>3.6866531734078938E-2</c:v>
                </c:pt>
                <c:pt idx="5">
                  <c:v>5.6711859605116939E-4</c:v>
                </c:pt>
                <c:pt idx="6">
                  <c:v>-7.6844764327183623E-2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4E-4510-8B21-AB3627E9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841472"/>
        <c:axId val="1001290224"/>
      </c:lineChart>
      <c:catAx>
        <c:axId val="5798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290224"/>
        <c:crosses val="autoZero"/>
        <c:auto val="1"/>
        <c:lblAlgn val="ctr"/>
        <c:lblOffset val="100"/>
        <c:noMultiLvlLbl val="0"/>
      </c:catAx>
      <c:valAx>
        <c:axId val="10012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[BTC_delta_results_1min.xlsx]Descriptive!PivotTable2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Descriptive!$B$19:$B$20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Descriptive!$A$21:$A$27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Descriptive!$B$21:$B$27</c:f>
              <c:numCache>
                <c:formatCode>0.000000</c:formatCode>
                <c:ptCount val="7"/>
                <c:pt idx="0">
                  <c:v>-4.1208710794271566E-3</c:v>
                </c:pt>
                <c:pt idx="1">
                  <c:v>-9.1014589323701323E-3</c:v>
                </c:pt>
                <c:pt idx="2">
                  <c:v>-1.141393991412332E-2</c:v>
                </c:pt>
                <c:pt idx="3">
                  <c:v>-1.2086996897175959E-2</c:v>
                </c:pt>
                <c:pt idx="4">
                  <c:v>-1.37106452747171E-2</c:v>
                </c:pt>
                <c:pt idx="5">
                  <c:v>-1.7687310460212661E-2</c:v>
                </c:pt>
                <c:pt idx="6">
                  <c:v>-4.5606225145494728E-2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6-409C-AA50-327A23ABFAEA}"/>
            </c:ext>
          </c:extLst>
        </c:ser>
        <c:ser>
          <c:idx val="1"/>
          <c:order val="1"/>
          <c:tx>
            <c:strRef>
              <c:f>Descriptive!$C$19:$C$20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Descriptive!$A$21:$A$27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Descriptive!$C$21:$C$27</c:f>
              <c:numCache>
                <c:formatCode>0.000000</c:formatCode>
                <c:ptCount val="7"/>
                <c:pt idx="0">
                  <c:v>3.1380846924333738E-3</c:v>
                </c:pt>
                <c:pt idx="1">
                  <c:v>7.5528597424767696E-3</c:v>
                </c:pt>
                <c:pt idx="2">
                  <c:v>1.255261132555585E-2</c:v>
                </c:pt>
                <c:pt idx="3">
                  <c:v>1.6130989245577428E-2</c:v>
                </c:pt>
                <c:pt idx="4">
                  <c:v>2.1116348716709869E-2</c:v>
                </c:pt>
                <c:pt idx="5">
                  <c:v>2.5066098959580781E-2</c:v>
                </c:pt>
                <c:pt idx="6">
                  <c:v>-4.2377762198164692E-2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6-409C-AA50-327A23ABFAEA}"/>
            </c:ext>
          </c:extLst>
        </c:ser>
        <c:ser>
          <c:idx val="2"/>
          <c:order val="2"/>
          <c:tx>
            <c:strRef>
              <c:f>Descriptive!$D$19:$D$20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Descriptive!$A$21:$A$27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Descriptive!$D$21:$D$27</c:f>
              <c:numCache>
                <c:formatCode>0.000000</c:formatCode>
                <c:ptCount val="7"/>
                <c:pt idx="0">
                  <c:v>-6.4476182819073191E-3</c:v>
                </c:pt>
                <c:pt idx="1">
                  <c:v>-1.4508166018128991E-2</c:v>
                </c:pt>
                <c:pt idx="2">
                  <c:v>-2.381517132742372E-2</c:v>
                </c:pt>
                <c:pt idx="3">
                  <c:v>-2.4565509133273041E-2</c:v>
                </c:pt>
                <c:pt idx="4">
                  <c:v>-2.4764576364560979E-2</c:v>
                </c:pt>
                <c:pt idx="5">
                  <c:v>-3.2501532460316167E-2</c:v>
                </c:pt>
                <c:pt idx="6">
                  <c:v>-7.6028900225399987E-2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6-409C-AA50-327A23ABFAEA}"/>
            </c:ext>
          </c:extLst>
        </c:ser>
        <c:ser>
          <c:idx val="3"/>
          <c:order val="3"/>
          <c:tx>
            <c:strRef>
              <c:f>Descriptive!$E$19:$E$20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Descriptive!$A$21:$A$27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Descriptive!$E$21:$E$27</c:f>
              <c:numCache>
                <c:formatCode>0.000000</c:formatCode>
                <c:ptCount val="7"/>
                <c:pt idx="0">
                  <c:v>6.2114443735383773E-3</c:v>
                </c:pt>
                <c:pt idx="1">
                  <c:v>1.7487708509045241E-2</c:v>
                </c:pt>
                <c:pt idx="2">
                  <c:v>3.2771636314277153E-2</c:v>
                </c:pt>
                <c:pt idx="3">
                  <c:v>3.7369589976876671E-2</c:v>
                </c:pt>
                <c:pt idx="4">
                  <c:v>3.8872300033332419E-2</c:v>
                </c:pt>
                <c:pt idx="5">
                  <c:v>5.2683349332138807E-2</c:v>
                </c:pt>
                <c:pt idx="6">
                  <c:v>-1.5957647540854051E-2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76-409C-AA50-327A23AB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586544"/>
        <c:axId val="1001337264"/>
      </c:lineChart>
      <c:catAx>
        <c:axId val="163658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37264"/>
        <c:crosses val="autoZero"/>
        <c:auto val="1"/>
        <c:lblAlgn val="ctr"/>
        <c:lblOffset val="100"/>
        <c:noMultiLvlLbl val="0"/>
      </c:catAx>
      <c:valAx>
        <c:axId val="10013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8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[BTC_delta_results_1min.xlsx]Descriptive!PivotTable3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Descriptive!$B$40:$B$41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Descriptive!$A$42:$A$48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Descriptive!$B$42:$B$48</c:f>
              <c:numCache>
                <c:formatCode>0.00</c:formatCode>
                <c:ptCount val="7"/>
                <c:pt idx="0">
                  <c:v>46.958509142053437</c:v>
                </c:pt>
                <c:pt idx="1">
                  <c:v>46.782700421940923</c:v>
                </c:pt>
                <c:pt idx="2">
                  <c:v>47.679324894514771</c:v>
                </c:pt>
                <c:pt idx="3">
                  <c:v>48.282288406765353</c:v>
                </c:pt>
                <c:pt idx="4">
                  <c:v>48.568917018284111</c:v>
                </c:pt>
                <c:pt idx="5">
                  <c:v>48.929211942187997</c:v>
                </c:pt>
                <c:pt idx="6">
                  <c:v>48.956350045835983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B-4C31-88CF-BE4425974FA6}"/>
            </c:ext>
          </c:extLst>
        </c:ser>
        <c:ser>
          <c:idx val="1"/>
          <c:order val="1"/>
          <c:tx>
            <c:strRef>
              <c:f>Descriptive!$C$40:$C$41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Descriptive!$A$42:$A$48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Descriptive!$C$42:$C$48</c:f>
              <c:numCache>
                <c:formatCode>0.00</c:formatCode>
                <c:ptCount val="7"/>
                <c:pt idx="0">
                  <c:v>52.108020675832478</c:v>
                </c:pt>
                <c:pt idx="1">
                  <c:v>52.426330965609388</c:v>
                </c:pt>
                <c:pt idx="2">
                  <c:v>52.447429495745133</c:v>
                </c:pt>
                <c:pt idx="3">
                  <c:v>52.310126582278492</c:v>
                </c:pt>
                <c:pt idx="4">
                  <c:v>52.145017230466273</c:v>
                </c:pt>
                <c:pt idx="5">
                  <c:v>51.292512221714198</c:v>
                </c:pt>
                <c:pt idx="6">
                  <c:v>49.07012033736811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B-4C31-88CF-BE4425974FA6}"/>
            </c:ext>
          </c:extLst>
        </c:ser>
        <c:ser>
          <c:idx val="2"/>
          <c:order val="2"/>
          <c:tx>
            <c:strRef>
              <c:f>Descriptive!$D$40:$D$41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Descriptive!$A$42:$A$48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Descriptive!$D$42:$D$48</c:f>
              <c:numCache>
                <c:formatCode>0.00</c:formatCode>
                <c:ptCount val="7"/>
                <c:pt idx="0">
                  <c:v>46.536568213783397</c:v>
                </c:pt>
                <c:pt idx="1">
                  <c:v>46.114627285513357</c:v>
                </c:pt>
                <c:pt idx="2">
                  <c:v>46.114627285513357</c:v>
                </c:pt>
                <c:pt idx="3">
                  <c:v>47.345288326300981</c:v>
                </c:pt>
                <c:pt idx="4">
                  <c:v>47.80239099859353</c:v>
                </c:pt>
                <c:pt idx="5">
                  <c:v>48.329817158931093</c:v>
                </c:pt>
                <c:pt idx="6">
                  <c:v>48.257042253521128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1B-4C31-88CF-BE4425974FA6}"/>
            </c:ext>
          </c:extLst>
        </c:ser>
        <c:ser>
          <c:idx val="3"/>
          <c:order val="3"/>
          <c:tx>
            <c:strRef>
              <c:f>Descriptive!$E$40:$E$41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Descriptive!$A$42:$A$48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Descriptive!$E$42:$E$48</c:f>
              <c:numCache>
                <c:formatCode>0.00</c:formatCode>
                <c:ptCount val="7"/>
                <c:pt idx="0">
                  <c:v>52.628802532090738</c:v>
                </c:pt>
                <c:pt idx="1">
                  <c:v>54.105855459820638</c:v>
                </c:pt>
                <c:pt idx="2">
                  <c:v>55.072973448215222</c:v>
                </c:pt>
                <c:pt idx="3">
                  <c:v>53.990857946554151</c:v>
                </c:pt>
                <c:pt idx="4">
                  <c:v>53.375527426160339</c:v>
                </c:pt>
                <c:pt idx="5">
                  <c:v>52.531645569620252</c:v>
                </c:pt>
                <c:pt idx="6">
                  <c:v>49.69075808446722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1B-4C31-88CF-BE4425974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592112"/>
        <c:axId val="1001346864"/>
      </c:lineChart>
      <c:catAx>
        <c:axId val="163659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6864"/>
        <c:crosses val="autoZero"/>
        <c:auto val="1"/>
        <c:lblAlgn val="ctr"/>
        <c:lblOffset val="100"/>
        <c:noMultiLvlLbl val="0"/>
      </c:catAx>
      <c:valAx>
        <c:axId val="10013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9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15</xdr:row>
      <xdr:rowOff>142876</xdr:rowOff>
    </xdr:from>
    <xdr:to>
      <xdr:col>13</xdr:col>
      <xdr:colOff>104775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2</xdr:row>
      <xdr:rowOff>61912</xdr:rowOff>
    </xdr:from>
    <xdr:to>
      <xdr:col>11</xdr:col>
      <xdr:colOff>247650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2D658-672D-50FE-198A-B478F0B3A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19</xdr:row>
      <xdr:rowOff>23812</xdr:rowOff>
    </xdr:from>
    <xdr:to>
      <xdr:col>10</xdr:col>
      <xdr:colOff>762000</xdr:colOff>
      <xdr:row>33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2C9404-7DFB-05B4-D307-DF962143D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523875</xdr:colOff>
      <xdr:row>36</xdr:row>
      <xdr:rowOff>52387</xdr:rowOff>
    </xdr:from>
    <xdr:to>
      <xdr:col>10</xdr:col>
      <xdr:colOff>942975</xdr:colOff>
      <xdr:row>50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109F73-440E-0E24-0D5E-66B9A770D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c leach" refreshedDate="46253.647704629628" createdVersion="8" refreshedVersion="8" minRefreshableVersion="3" recordCount="56" xr:uid="{00000000-000A-0000-FFFF-FFFF00000000}">
  <cacheSource type="worksheet">
    <worksheetSource ref="A1:H57" sheet="All Results"/>
  </cacheSource>
  <cacheFields count="8">
    <cacheField name="condition" numFmtId="0">
      <sharedItems count="8">
        <s v="strong buy delta"/>
        <s v="very strong buy delta"/>
        <s v="strong sell delta"/>
        <s v="very strong sell delta"/>
        <s v="strong normalised buy delta"/>
        <s v="strong normalised sell delta"/>
        <s v="very strong normalised buy delta"/>
        <s v="very strong normalised sell delta"/>
      </sharedItems>
    </cacheField>
    <cacheField name="minutes forward" numFmtId="0">
      <sharedItems containsSemiMixedTypes="0" containsString="0" containsNumber="1" containsInteger="1" minValue="1" maxValue="1440" count="7">
        <n v="1"/>
        <n v="5"/>
        <n v="15"/>
        <n v="30"/>
        <n v="60"/>
        <n v="240"/>
        <n v="1440"/>
      </sharedItems>
    </cacheField>
    <cacheField name="events" numFmtId="0">
      <sharedItems containsSemiMixedTypes="0" containsString="0" containsNumber="1" containsInteger="1" minValue="5659" maxValue="28440"/>
    </cacheField>
    <cacheField name="average movement(%)" numFmtId="0">
      <sharedItems containsSemiMixedTypes="0" containsString="0" containsNumber="1" minValue="-0.1183637918425004" maxValue="3.6866531734078938E-2" count="56">
        <n v="-1.650239108595148E-3"/>
        <n v="-4.762012170328336E-3"/>
        <n v="-5.4941101646227902E-3"/>
        <n v="-6.8585614397942444E-3"/>
        <n v="-7.5663974987770369E-3"/>
        <n v="-2.2294922792978521E-2"/>
        <n v="-0.1183637918425004"/>
        <n v="-2.7717884572255359E-3"/>
        <n v="-6.7341490506833621E-3"/>
        <n v="-1.078728743992354E-2"/>
        <n v="-5.2478670063215906E-3"/>
        <n v="5.250424040773507E-3"/>
        <n v="-3.8871858827793241E-3"/>
        <n v="-9.3085072140675906E-2"/>
        <n v="1.9810167265755922E-3"/>
        <n v="3.8337734610364499E-3"/>
        <n v="5.9742369046577072E-3"/>
        <n v="8.8245718183424023E-3"/>
        <n v="1.124226463912472E-2"/>
        <n v="-8.5912158161840571E-3"/>
        <n v="-0.1170636742188346"/>
        <n v="4.6494571881581974E-3"/>
        <n v="9.2965531613180673E-3"/>
        <n v="1.7009794254949629E-2"/>
        <n v="2.297922168047439E-2"/>
        <n v="3.6866531734078938E-2"/>
        <n v="5.6711859605116939E-4"/>
        <n v="-7.6844764327183623E-2"/>
        <n v="8.6665762614188731E-4"/>
        <n v="7.479289007606473E-4"/>
        <n v="6.1548794203304896E-4"/>
        <n v="-7.5566520727849329E-4"/>
        <n v="-1.8665898410750411E-3"/>
        <n v="-3.9781888396422894E-3"/>
        <n v="-4.7099247433028228E-2"/>
        <n v="-2.1259473658230931E-4"/>
        <n v="6.6962752375612192E-4"/>
        <n v="1.246674209639001E-3"/>
        <n v="1.1692438767177439E-3"/>
        <n v="4.2330978198728528E-4"/>
        <n v="-1.340948002300903E-2"/>
        <n v="-3.4606682698196833E-2"/>
        <n v="1.7754565292213071E-3"/>
        <n v="2.078118848861497E-3"/>
        <n v="2.3128110715711549E-3"/>
        <n v="2.8444385158326248E-3"/>
        <n v="8.0966041972818665E-3"/>
        <n v="1.381593261822963E-2"/>
        <n v="-8.0612890116051866E-3"/>
        <n v="-1.1044137435847489E-3"/>
        <n v="3.56184397306918E-4"/>
        <n v="3.1276234316338922E-3"/>
        <n v="7.087238291483805E-3"/>
        <n v="8.8870991914765662E-3"/>
        <n v="-8.9399282567790578E-3"/>
        <n v="-4.0772774128125598E-2"/>
      </sharedItems>
    </cacheField>
    <cacheField name="median movement(%)" numFmtId="0">
      <sharedItems containsSemiMixedTypes="0" containsString="0" containsNumber="1" minValue="-7.6028900225399987E-2" maxValue="0.1182809678932584"/>
    </cacheField>
    <cacheField name="standard deviation (%)" numFmtId="0">
      <sharedItems containsSemiMixedTypes="0" containsString="0" containsNumber="1" minValue="3.0200647503730148E-2" maxValue="2.627167052155428"/>
    </cacheField>
    <cacheField name="positive movements" numFmtId="0">
      <sharedItems containsSemiMixedTypes="0" containsString="0" containsNumber="1" containsInteger="1" minValue="2577" maxValue="14968"/>
    </cacheField>
    <cacheField name="Positive movements (%)" numFmtId="0">
      <sharedItems containsSemiMixedTypes="0" containsString="0" containsNumber="1" minValue="45.305907172995781" maxValue="55.0729734482152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c leach" refreshedDate="46256.980513194445" backgroundQuery="1" createdVersion="8" refreshedVersion="8" minRefreshableVersion="3" recordCount="0" supportSubquery="1" supportAdvancedDrill="1" xr:uid="{D0CEDB54-5D31-4953-A549-E6E30920BD33}">
  <cacheSource type="external" connectionId="1"/>
  <cacheFields count="3">
    <cacheField name="[Range].[condition].[condition]" caption="condition" numFmtId="0" level="1">
      <sharedItems count="4">
        <s v="strong buy delta"/>
        <s v="strong sell delta"/>
        <s v="very strong buy delta"/>
        <s v="very strong sell delta"/>
      </sharedItems>
    </cacheField>
    <cacheField name="[Measures].[Sum of average movement(%)]" caption="Sum of average movement(%)" numFmtId="0" hierarchy="11" level="32767"/>
    <cacheField name="[Range].[minutes forward].[minutes forward]" caption="minutes forward" numFmtId="0" hierarchy="1" level="1">
      <sharedItems containsSemiMixedTypes="0" containsString="0" containsNumber="1" containsInteger="1" minValue="1" maxValue="1440" count="7">
        <n v="1"/>
        <n v="5"/>
        <n v="15"/>
        <n v="30"/>
        <n v="60"/>
        <n v="240"/>
        <n v="1440"/>
      </sharedItems>
      <extLst>
        <ext xmlns:x15="http://schemas.microsoft.com/office/spreadsheetml/2010/11/main" uri="{4F2E5C28-24EA-4eb8-9CBF-B6C8F9C3D259}">
          <x15:cachedUniqueNames>
            <x15:cachedUniqueName index="0" name="[Range].[minutes forward].&amp;[1]"/>
            <x15:cachedUniqueName index="1" name="[Range].[minutes forward].&amp;[5]"/>
            <x15:cachedUniqueName index="2" name="[Range].[minutes forward].&amp;[15]"/>
            <x15:cachedUniqueName index="3" name="[Range].[minutes forward].&amp;[30]"/>
            <x15:cachedUniqueName index="4" name="[Range].[minutes forward].&amp;[60]"/>
            <x15:cachedUniqueName index="5" name="[Range].[minutes forward].&amp;[240]"/>
            <x15:cachedUniqueName index="6" name="[Range].[minutes forward].&amp;[1440]"/>
          </x15:cachedUniqueNames>
        </ext>
      </extLst>
    </cacheField>
  </cacheFields>
  <cacheHierarchies count="12">
    <cacheHierarchy uniqueName="[Range].[condition]" caption="condition" attribute="1" defaultMemberUniqueName="[Range].[condition].[All]" allUniqueName="[Range].[condi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inutes forward]" caption="minutes forward" attribute="1" defaultMemberUniqueName="[Range].[minutes forward].[All]" allUniqueName="[Range].[minutes forward].[All]" dimensionUniqueName="[Range]" displayFolder="" count="2" memberValueDatatype="20" unbalanced="0">
      <fieldsUsage count="2">
        <fieldUsage x="-1"/>
        <fieldUsage x="2"/>
      </fieldsUsage>
    </cacheHierarchy>
    <cacheHierarchy uniqueName="[Range].[events]" caption="events" attribute="1" defaultMemberUniqueName="[Range].[events].[All]" allUniqueName="[Range].[events].[All]" dimensionUniqueName="[Range]" displayFolder="" count="0" memberValueDatatype="20" unbalanced="0"/>
    <cacheHierarchy uniqueName="[Range].[average movement(%)]" caption="average movement(%)" attribute="1" defaultMemberUniqueName="[Range].[average movement(%)].[All]" allUniqueName="[Range].[average movement(%)].[All]" dimensionUniqueName="[Range]" displayFolder="" count="0" memberValueDatatype="5" unbalanced="0"/>
    <cacheHierarchy uniqueName="[Range].[median movement(%)]" caption="median movement(%)" attribute="1" defaultMemberUniqueName="[Range].[median movement(%)].[All]" allUniqueName="[Range].[median movement(%)].[All]" dimensionUniqueName="[Range]" displayFolder="" count="0" memberValueDatatype="5" unbalanced="0"/>
    <cacheHierarchy uniqueName="[Range].[standard deviation (%)]" caption="standard deviation (%)" attribute="1" defaultMemberUniqueName="[Range].[standard deviation (%)].[All]" allUniqueName="[Range].[standard deviation (%)].[All]" dimensionUniqueName="[Range]" displayFolder="" count="0" memberValueDatatype="5" unbalanced="0"/>
    <cacheHierarchy uniqueName="[Range].[positive movements]" caption="positive movements" attribute="1" defaultMemberUniqueName="[Range].[positive movements].[All]" allUniqueName="[Range].[positive movements].[All]" dimensionUniqueName="[Range]" displayFolder="" count="0" memberValueDatatype="20" unbalanced="0"/>
    <cacheHierarchy uniqueName="[Range].[Positive movements (%)]" caption="Positive movements (%)" attribute="1" defaultMemberUniqueName="[Range].[Positive movements (%)].[All]" allUniqueName="[Range].[Positive movements (%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inutes forward]" caption="Sum of minutes forwar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movement(%)]" caption="Sum of average movement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28440"/>
    <x v="0"/>
    <n v="-4.1208710794271566E-3"/>
    <n v="0.1044507565031591"/>
    <n v="13355"/>
    <n v="46.958509142053437"/>
  </r>
  <r>
    <x v="0"/>
    <x v="1"/>
    <n v="28440"/>
    <x v="1"/>
    <n v="-9.1014589323701323E-3"/>
    <n v="0.20781740361506901"/>
    <n v="13305"/>
    <n v="46.782700421940923"/>
  </r>
  <r>
    <x v="0"/>
    <x v="2"/>
    <n v="28440"/>
    <x v="2"/>
    <n v="-1.141393991412332E-2"/>
    <n v="0.34648736080976561"/>
    <n v="13560"/>
    <n v="47.679324894514771"/>
  </r>
  <r>
    <x v="0"/>
    <x v="3"/>
    <n v="28439"/>
    <x v="3"/>
    <n v="-1.2086996897175959E-2"/>
    <n v="0.4595133682060496"/>
    <n v="13731"/>
    <n v="48.282288406765353"/>
  </r>
  <r>
    <x v="0"/>
    <x v="4"/>
    <n v="28440"/>
    <x v="4"/>
    <n v="-1.37106452747171E-2"/>
    <n v="0.62792493743959943"/>
    <n v="13813"/>
    <n v="48.568917018284111"/>
  </r>
  <r>
    <x v="0"/>
    <x v="5"/>
    <n v="28437"/>
    <x v="5"/>
    <n v="-1.7687310460212661E-2"/>
    <n v="1.108144474740999"/>
    <n v="13914"/>
    <n v="48.929211942187997"/>
  </r>
  <r>
    <x v="0"/>
    <x v="6"/>
    <n v="28362"/>
    <x v="6"/>
    <n v="-4.5606225145494728E-2"/>
    <n v="2.4324268723119529"/>
    <n v="13885"/>
    <n v="48.956350045835983"/>
  </r>
  <r>
    <x v="1"/>
    <x v="0"/>
    <n v="5688"/>
    <x v="7"/>
    <n v="-6.4476182819073191E-3"/>
    <n v="0.14028982668372711"/>
    <n v="2647"/>
    <n v="46.536568213783397"/>
  </r>
  <r>
    <x v="1"/>
    <x v="1"/>
    <n v="5688"/>
    <x v="8"/>
    <n v="-1.4508166018128991E-2"/>
    <n v="0.24981523915221879"/>
    <n v="2623"/>
    <n v="46.114627285513357"/>
  </r>
  <r>
    <x v="1"/>
    <x v="2"/>
    <n v="5688"/>
    <x v="9"/>
    <n v="-2.381517132742372E-2"/>
    <n v="0.42802882950282439"/>
    <n v="2623"/>
    <n v="46.114627285513357"/>
  </r>
  <r>
    <x v="1"/>
    <x v="3"/>
    <n v="5688"/>
    <x v="10"/>
    <n v="-2.4565509133273041E-2"/>
    <n v="0.54359248887718925"/>
    <n v="2693"/>
    <n v="47.345288326300981"/>
  </r>
  <r>
    <x v="1"/>
    <x v="4"/>
    <n v="5688"/>
    <x v="11"/>
    <n v="-2.4764576364560979E-2"/>
    <n v="0.72815511978177805"/>
    <n v="2719"/>
    <n v="47.80239099859353"/>
  </r>
  <r>
    <x v="1"/>
    <x v="5"/>
    <n v="5688"/>
    <x v="12"/>
    <n v="-3.2501532460316167E-2"/>
    <n v="1.2031594042708791"/>
    <n v="2749"/>
    <n v="48.329817158931093"/>
  </r>
  <r>
    <x v="1"/>
    <x v="6"/>
    <n v="5680"/>
    <x v="13"/>
    <n v="-7.6028900225399987E-2"/>
    <n v="2.4945181990198169"/>
    <n v="2741"/>
    <n v="48.257042253521128"/>
  </r>
  <r>
    <x v="2"/>
    <x v="0"/>
    <n v="28439"/>
    <x v="14"/>
    <n v="3.1380846924333738E-3"/>
    <n v="0.1043635919944685"/>
    <n v="14819"/>
    <n v="52.108020675832478"/>
  </r>
  <r>
    <x v="2"/>
    <x v="1"/>
    <n v="28438"/>
    <x v="15"/>
    <n v="7.5528597424767696E-3"/>
    <n v="0.2276091748373692"/>
    <n v="14909"/>
    <n v="52.426330965609388"/>
  </r>
  <r>
    <x v="2"/>
    <x v="2"/>
    <n v="28438"/>
    <x v="16"/>
    <n v="1.255261132555585E-2"/>
    <n v="0.35968413467553201"/>
    <n v="14915"/>
    <n v="52.447429495745133"/>
  </r>
  <r>
    <x v="2"/>
    <x v="3"/>
    <n v="28440"/>
    <x v="17"/>
    <n v="1.6130989245577428E-2"/>
    <n v="0.49736766595926007"/>
    <n v="14877"/>
    <n v="52.310126582278492"/>
  </r>
  <r>
    <x v="2"/>
    <x v="4"/>
    <n v="28438"/>
    <x v="18"/>
    <n v="2.1116348716709869E-2"/>
    <n v="0.64318697510638856"/>
    <n v="14829"/>
    <n v="52.145017230466273"/>
  </r>
  <r>
    <x v="2"/>
    <x v="5"/>
    <n v="28433"/>
    <x v="19"/>
    <n v="2.5066098959580781E-2"/>
    <n v="1.135746728342931"/>
    <n v="14584"/>
    <n v="51.292512221714198"/>
  </r>
  <r>
    <x v="2"/>
    <x v="6"/>
    <n v="28337"/>
    <x v="20"/>
    <n v="-4.2377762198164692E-2"/>
    <n v="2.4082668517537851"/>
    <n v="13905"/>
    <n v="49.07012033736811"/>
  </r>
  <r>
    <x v="3"/>
    <x v="0"/>
    <n v="5687"/>
    <x v="21"/>
    <n v="6.2114443735383773E-3"/>
    <n v="0.1527067866996869"/>
    <n v="2993"/>
    <n v="52.628802532090738"/>
  </r>
  <r>
    <x v="3"/>
    <x v="1"/>
    <n v="5687"/>
    <x v="22"/>
    <n v="1.7487708509045241E-2"/>
    <n v="0.33263429685487178"/>
    <n v="3077"/>
    <n v="54.105855459820638"/>
  </r>
  <r>
    <x v="3"/>
    <x v="2"/>
    <n v="5687"/>
    <x v="23"/>
    <n v="3.2771636314277153E-2"/>
    <n v="0.48273376527100731"/>
    <n v="3132"/>
    <n v="55.072973448215222"/>
  </r>
  <r>
    <x v="3"/>
    <x v="3"/>
    <n v="5688"/>
    <x v="24"/>
    <n v="3.7369589976876671E-2"/>
    <n v="0.64898699555287742"/>
    <n v="3071"/>
    <n v="53.990857946554151"/>
  </r>
  <r>
    <x v="3"/>
    <x v="4"/>
    <n v="5688"/>
    <x v="25"/>
    <n v="3.8872300033332419E-2"/>
    <n v="0.770470317493958"/>
    <n v="3036"/>
    <n v="53.375527426160339"/>
  </r>
  <r>
    <x v="3"/>
    <x v="5"/>
    <n v="5688"/>
    <x v="26"/>
    <n v="5.2683349332138807E-2"/>
    <n v="1.2717481732778091"/>
    <n v="2988"/>
    <n v="52.531645569620252"/>
  </r>
  <r>
    <x v="3"/>
    <x v="6"/>
    <n v="5659"/>
    <x v="27"/>
    <n v="-1.5957647540854051E-2"/>
    <n v="2.627167052155428"/>
    <n v="2812"/>
    <n v="49.69075808446722"/>
  </r>
  <r>
    <x v="4"/>
    <x v="0"/>
    <n v="28440"/>
    <x v="28"/>
    <n v="0"/>
    <n v="3.9403443834239847E-2"/>
    <n v="13673"/>
    <n v="48.076652601969059"/>
  </r>
  <r>
    <x v="4"/>
    <x v="1"/>
    <n v="28440"/>
    <x v="29"/>
    <n v="-3.4923005510223431E-4"/>
    <n v="8.6646341576271435E-2"/>
    <n v="14007"/>
    <n v="49.251054852320678"/>
  </r>
  <r>
    <x v="4"/>
    <x v="2"/>
    <n v="28439"/>
    <x v="30"/>
    <n v="-1.5453701354584131E-3"/>
    <n v="0.14861526764375069"/>
    <n v="14024"/>
    <n v="49.312563732901999"/>
  </r>
  <r>
    <x v="4"/>
    <x v="3"/>
    <n v="28437"/>
    <x v="31"/>
    <n v="-2.4758848812256318E-4"/>
    <n v="0.21354167655283879"/>
    <n v="14186"/>
    <n v="49.885712276259802"/>
  </r>
  <r>
    <x v="4"/>
    <x v="4"/>
    <n v="28440"/>
    <x v="32"/>
    <n v="-1.6800129121419261E-3"/>
    <n v="0.30334246769558998"/>
    <n v="14121"/>
    <n v="49.651898734177223"/>
  </r>
  <r>
    <x v="4"/>
    <x v="5"/>
    <n v="28429"/>
    <x v="33"/>
    <n v="5.5123840901449839E-3"/>
    <n v="0.66458767169235833"/>
    <n v="14393"/>
    <n v="50.627879981708823"/>
  </r>
  <r>
    <x v="4"/>
    <x v="6"/>
    <n v="28411"/>
    <x v="34"/>
    <n v="7.191094838516765E-2"/>
    <n v="1.8462974346287431"/>
    <n v="14921"/>
    <n v="52.518390764140648"/>
  </r>
  <r>
    <x v="5"/>
    <x v="0"/>
    <n v="28440"/>
    <x v="35"/>
    <n v="0"/>
    <n v="3.9659335236260057E-2"/>
    <n v="13708"/>
    <n v="48.199718706047832"/>
  </r>
  <r>
    <x v="5"/>
    <x v="1"/>
    <n v="28440"/>
    <x v="36"/>
    <n v="1.5388598421095521E-3"/>
    <n v="8.3927640819681654E-2"/>
    <n v="14580"/>
    <n v="51.265822784810119"/>
  </r>
  <r>
    <x v="5"/>
    <x v="2"/>
    <n v="28439"/>
    <x v="37"/>
    <n v="1.8454756845365241E-3"/>
    <n v="0.1435610485418978"/>
    <n v="14409"/>
    <n v="50.666338478849468"/>
  </r>
  <r>
    <x v="5"/>
    <x v="3"/>
    <n v="28438"/>
    <x v="38"/>
    <n v="1.618174599138378E-3"/>
    <n v="0.20405071755116669"/>
    <n v="14361"/>
    <n v="50.499331879879037"/>
  </r>
  <r>
    <x v="5"/>
    <x v="4"/>
    <n v="28438"/>
    <x v="39"/>
    <n v="2.4424147953117088E-3"/>
    <n v="0.29598369730455948"/>
    <n v="14377"/>
    <n v="50.555594626907663"/>
  </r>
  <r>
    <x v="5"/>
    <x v="5"/>
    <n v="28431"/>
    <x v="40"/>
    <n v="1.101069358555584E-3"/>
    <n v="0.67250666760117639"/>
    <n v="14257"/>
    <n v="50.145967429918038"/>
  </r>
  <r>
    <x v="5"/>
    <x v="6"/>
    <n v="28403"/>
    <x v="41"/>
    <n v="7.7300683677861137E-2"/>
    <n v="1.798316709253148"/>
    <n v="14968"/>
    <n v="52.698658592402211"/>
  </r>
  <r>
    <x v="6"/>
    <x v="0"/>
    <n v="5688"/>
    <x v="42"/>
    <n v="0"/>
    <n v="3.1997617993781598E-2"/>
    <n v="2791"/>
    <n v="49.068213783403657"/>
  </r>
  <r>
    <x v="6"/>
    <x v="1"/>
    <n v="5688"/>
    <x v="43"/>
    <n v="9.0399893171166923E-5"/>
    <n v="6.9652186807337299E-2"/>
    <n v="2852"/>
    <n v="50.140646976090011"/>
  </r>
  <r>
    <x v="6"/>
    <x v="2"/>
    <n v="5688"/>
    <x v="44"/>
    <n v="8.6281879418947938E-5"/>
    <n v="0.1178739171447684"/>
    <n v="2845"/>
    <n v="50.017580872011237"/>
  </r>
  <r>
    <x v="6"/>
    <x v="3"/>
    <n v="5686"/>
    <x v="45"/>
    <n v="3.588602278825626E-3"/>
    <n v="0.16791126208361659"/>
    <n v="2908"/>
    <n v="51.143158635244447"/>
  </r>
  <r>
    <x v="6"/>
    <x v="4"/>
    <n v="5688"/>
    <x v="46"/>
    <n v="2.920093245362132E-3"/>
    <n v="0.2454270789387118"/>
    <n v="2898"/>
    <n v="50.949367088607602"/>
  </r>
  <r>
    <x v="6"/>
    <x v="5"/>
    <n v="5685"/>
    <x v="47"/>
    <n v="1.6325007579465201E-2"/>
    <n v="0.57752317138286113"/>
    <n v="2968"/>
    <n v="52.207563764291997"/>
  </r>
  <r>
    <x v="6"/>
    <x v="6"/>
    <n v="5684"/>
    <x v="48"/>
    <n v="0.1182809678932584"/>
    <n v="1.6896711824329329"/>
    <n v="3112"/>
    <n v="54.750175932441948"/>
  </r>
  <r>
    <x v="7"/>
    <x v="0"/>
    <n v="5688"/>
    <x v="49"/>
    <n v="0"/>
    <n v="3.0200647503730148E-2"/>
    <n v="2577"/>
    <n v="45.305907172995781"/>
  </r>
  <r>
    <x v="7"/>
    <x v="1"/>
    <n v="5688"/>
    <x v="50"/>
    <n v="1.2912590648395119E-3"/>
    <n v="6.6333262287392003E-2"/>
    <n v="2925"/>
    <n v="51.424050632911388"/>
  </r>
  <r>
    <x v="7"/>
    <x v="2"/>
    <n v="5688"/>
    <x v="51"/>
    <n v="2.2034625206668319E-3"/>
    <n v="0.1140723290633026"/>
    <n v="2899"/>
    <n v="50.966947960618853"/>
  </r>
  <r>
    <x v="7"/>
    <x v="3"/>
    <n v="5688"/>
    <x v="52"/>
    <n v="5.3507227010474168E-3"/>
    <n v="0.1601277891976404"/>
    <n v="2943"/>
    <n v="51.74050632911392"/>
  </r>
  <r>
    <x v="7"/>
    <x v="4"/>
    <n v="5688"/>
    <x v="53"/>
    <n v="5.9185768386038617E-3"/>
    <n v="0.23003312422533079"/>
    <n v="2934"/>
    <n v="51.582278481012658"/>
  </r>
  <r>
    <x v="7"/>
    <x v="5"/>
    <n v="5686"/>
    <x v="54"/>
    <n v="4.9101664531536748E-3"/>
    <n v="0.56381396474350798"/>
    <n v="2882"/>
    <n v="50.685895181146677"/>
  </r>
  <r>
    <x v="7"/>
    <x v="6"/>
    <n v="5685"/>
    <x v="55"/>
    <n v="0.1080247052500871"/>
    <n v="1.6591959094421691"/>
    <n v="3102"/>
    <n v="54.56464379947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 colHeaderCaption="">
  <location ref="A3:E11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57">
        <item x="6"/>
        <item x="20"/>
        <item x="13"/>
        <item x="27"/>
        <item x="34"/>
        <item x="55"/>
        <item x="41"/>
        <item x="5"/>
        <item x="40"/>
        <item x="9"/>
        <item x="54"/>
        <item x="19"/>
        <item x="48"/>
        <item x="4"/>
        <item x="3"/>
        <item x="8"/>
        <item x="2"/>
        <item x="10"/>
        <item x="1"/>
        <item x="33"/>
        <item x="12"/>
        <item x="7"/>
        <item x="32"/>
        <item x="0"/>
        <item x="49"/>
        <item x="31"/>
        <item x="35"/>
        <item x="50"/>
        <item x="39"/>
        <item x="26"/>
        <item x="30"/>
        <item x="36"/>
        <item x="29"/>
        <item x="28"/>
        <item x="38"/>
        <item x="37"/>
        <item x="42"/>
        <item x="14"/>
        <item x="43"/>
        <item x="44"/>
        <item x="45"/>
        <item x="51"/>
        <item x="15"/>
        <item x="21"/>
        <item x="11"/>
        <item x="16"/>
        <item x="52"/>
        <item x="46"/>
        <item x="17"/>
        <item x="53"/>
        <item x="22"/>
        <item x="18"/>
        <item x="47"/>
        <item x="23"/>
        <item x="24"/>
        <item x="2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standard deviation (%)" fld="5" baseField="1" baseItem="0"/>
  </dataFields>
  <formats count="8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2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0393A-380A-420E-A648-E991D47C561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6:E64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standard deviation (%)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1A7C9-890E-4D1C-B3E9-95281DCA6C82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40:E48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Positive movements (%)" fld="7" baseField="0" baseItem="0" numFmtId="2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CA940-AF62-4905-98FD-6C81AEAE0FC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19:E27" firstHeaderRow="1" firstDataRow="2" firstDataCol="1"/>
  <pivotFields count="8">
    <pivotField axis="axisCol" showAll="0" sortType="ascending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median movement(%)" fld="4" baseField="0" baseItem="0" numFmtId="166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F980B-6FD2-43B2-8B74-B9F77721416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E11" firstHeaderRow="1" firstDataRow="2" firstDataCol="1"/>
  <pivotFields count="3"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average movement(%)" fld="1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 Results!$A$1:$H$5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A0A1D8-3CC5-4B69-BF16-B9F9ED64D5B2}" name="Table3" displayName="Table3" ref="A1:P41" totalsRowShown="0">
  <autoFilter ref="A1:P41" xr:uid="{EBA0A1D8-3CC5-4B69-BF16-B9F9ED64D5B2}"/>
  <tableColumns count="16">
    <tableColumn id="1" xr3:uid="{81089C3D-B576-4088-B486-46CEE580DDF1}" name="Measure"/>
    <tableColumn id="2" xr3:uid="{4018F1B8-FE04-4CF6-B910-7FB2C3E7A925}" name="Strength"/>
    <tableColumn id="3" xr3:uid="{7B0C6356-39CB-4215-B29F-AD7F858BE8DC}" name="Condition"/>
    <tableColumn id="4" xr3:uid="{2230648C-CD8F-47F7-97A9-53E005249B79}" name="Minutes Forward"/>
    <tableColumn id="5" xr3:uid="{3D540F0D-909A-4B37-9906-00C7B9990FBF}" name="Observations"/>
    <tableColumn id="6" xr3:uid="{FD367E6C-250F-4C07-AAD5-0B203A397860}" name="Events"/>
    <tableColumn id="7" xr3:uid="{F298A9B5-2FE2-4C09-8B25-96D003D228D0}" name="number" dataDxfId="22"/>
    <tableColumn id="8" xr3:uid="{44672C7C-ECA6-421C-9DAF-02C40E88E700}" name="HAC standard error" dataDxfId="21"/>
    <tableColumn id="9" xr3:uid="{4C114581-AB52-4CC7-B2C9-2627B026CC69}" name="t-statistic" dataDxfId="20"/>
    <tableColumn id="10" xr3:uid="{E778B170-03DD-48B1-A241-1ED57C1A09B9}" name="p-value" dataDxfId="19"/>
    <tableColumn id="11" xr3:uid="{E7F4F55D-48A5-495E-A965-E9C370BD28C0}" name="95% CI lower" dataDxfId="18"/>
    <tableColumn id="12" xr3:uid="{8022B971-DC4B-4959-91C4-3A7C8743DE1E}" name="95% CI upper" dataDxfId="17"/>
    <tableColumn id="13" xr3:uid="{126E7277-2A8C-426C-83A0-C2F3BDFB2C28}" name="Direction" dataDxfId="16"/>
    <tableColumn id="14" xr3:uid="{F580EC3C-6B59-40E6-A603-FE271EB9DE57}" name="Adjusted p-value" dataDxfId="15"/>
    <tableColumn id="15" xr3:uid="{555E1375-86D0-4A05-8CCB-AA83A1181CFD}" name="Significant at 5%"/>
    <tableColumn id="16" xr3:uid="{5411CE8C-F50D-4E03-843C-1516D6E7598A}" name="Significant after adjus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6477C3-2664-4A40-BDB3-EB516ED8748B}" name="Table14" displayName="Table14" ref="A1:H57" totalsRowShown="0">
  <autoFilter ref="A1:H57" xr:uid="{2A6477C3-2664-4A40-BDB3-EB516ED8748B}">
    <filterColumn colId="1">
      <filters>
        <filter val="1"/>
        <filter val="15"/>
        <filter val="30"/>
        <filter val="5"/>
        <filter val="60"/>
      </filters>
    </filterColumn>
  </autoFilter>
  <tableColumns count="8">
    <tableColumn id="1" xr3:uid="{2A438C62-4F98-4A5B-98C4-F3F26BAA33B2}" name="condition"/>
    <tableColumn id="2" xr3:uid="{58AA1BFE-FB7A-4CF6-A0FF-60267F5ABEB4}" name="minutes forward"/>
    <tableColumn id="3" xr3:uid="{BC53785B-EEFD-4AD3-969D-F4434C339000}" name="events"/>
    <tableColumn id="4" xr3:uid="{DD774E72-8598-481C-9971-0805ADBC8DB7}" name="average movement(%)"/>
    <tableColumn id="5" xr3:uid="{6D38B9E5-9994-4FE5-ABA1-CA91CD4B20BE}" name="median movement(%)"/>
    <tableColumn id="6" xr3:uid="{4273D5C2-8D4C-4512-B8B3-AF17D40E1A84}" name="standard deviation (%)"/>
    <tableColumn id="7" xr3:uid="{4DEB6DCD-113A-4FAD-B1E1-14EDFDA3AB30}" name="positive movements"/>
    <tableColumn id="8" xr3:uid="{7F7B4E9A-7DD2-4599-A674-7EBDAB5F9CD2}" name="Positive movements (%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5864B8-7960-4121-BE93-9CCE3EFE25A8}" name="Table4" displayName="Table4" ref="A1:H8" totalsRowShown="0">
  <autoFilter ref="A1:H8" xr:uid="{E15864B8-7960-4121-BE93-9CCE3EFE25A8}"/>
  <tableColumns count="8">
    <tableColumn id="1" xr3:uid="{60BAC665-E19F-4BDC-BCEE-E5C94A754CCB}" name="condition"/>
    <tableColumn id="2" xr3:uid="{DDD20293-B973-4ED4-BCB7-F4D3B8DCF8DB}" name="minutes forward"/>
    <tableColumn id="3" xr3:uid="{9A7978F5-A4A1-4631-9904-03130E281F8C}" name="events"/>
    <tableColumn id="4" xr3:uid="{283C355B-CBAF-40F8-847D-ABC9D1A1A524}" name="average movement(%)"/>
    <tableColumn id="5" xr3:uid="{598BAEAD-2C5F-4D87-871E-DA809F51E163}" name="median movement(%)"/>
    <tableColumn id="6" xr3:uid="{51E49604-47E3-4A94-BCEC-E1B91E1E2825}" name="standard deviation (%)"/>
    <tableColumn id="7" xr3:uid="{8EBB261C-A916-495F-974B-56B6E027C53C}" name="positive movements"/>
    <tableColumn id="8" xr3:uid="{2B153051-BAA8-48BF-925F-E4E8040C7443}" name="Positive movements (%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B4808A-B14A-41E2-A2A5-DBC773C33D7C}" name="Table5" displayName="Table5" ref="A1:H8" totalsRowShown="0">
  <autoFilter ref="A1:H8" xr:uid="{DFB4808A-B14A-41E2-A2A5-DBC773C33D7C}"/>
  <tableColumns count="8">
    <tableColumn id="1" xr3:uid="{835DBE10-38D0-4678-BF99-3464CF56F028}" name="condition"/>
    <tableColumn id="2" xr3:uid="{609A4EFD-A4EA-4D97-9955-FFB281BAB5F5}" name="minutes forward"/>
    <tableColumn id="3" xr3:uid="{03BC7729-A17E-4A83-A22C-08C88D6549FF}" name="events"/>
    <tableColumn id="4" xr3:uid="{3492779A-42CD-41E8-98C2-9BF239506752}" name="average movement(%)"/>
    <tableColumn id="5" xr3:uid="{2CBE2567-442F-4E40-9D0C-442A5F6C3523}" name="median movement(%)"/>
    <tableColumn id="6" xr3:uid="{02CCC4A0-32D4-4480-B61F-104D6FF07BA7}" name="standard deviation (%)"/>
    <tableColumn id="7" xr3:uid="{2FB089D0-C206-4579-9E6F-8E9F7D94275D}" name="positive movements"/>
    <tableColumn id="8" xr3:uid="{DCE765F4-89E1-4B2D-8C65-DC9E7311B811}" name="Positive movements (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34F0EF-FACE-431E-984C-068FEFB2939F}" name="Table6" displayName="Table6" ref="A1:H8" totalsRowShown="0">
  <autoFilter ref="A1:H8" xr:uid="{7034F0EF-FACE-431E-984C-068FEFB2939F}"/>
  <tableColumns count="8">
    <tableColumn id="1" xr3:uid="{BF6621CA-D8EC-4A11-95C2-1CCD8D476403}" name="condition"/>
    <tableColumn id="2" xr3:uid="{8CA954FA-EB62-4922-A0A7-EF84863B96BA}" name="minutes forward"/>
    <tableColumn id="3" xr3:uid="{4A65D737-43F8-470B-BB10-27FD31C0E1A8}" name="events"/>
    <tableColumn id="4" xr3:uid="{CB1181FE-26C2-4583-A687-826081F8C102}" name="average movement(%)"/>
    <tableColumn id="5" xr3:uid="{247084FD-61DC-48A6-83A5-8E9406AF7971}" name="median movement(%)"/>
    <tableColumn id="6" xr3:uid="{EB5142B9-38E7-4986-85B2-1E68C0EC9CE4}" name="standard deviation (%)"/>
    <tableColumn id="7" xr3:uid="{EFC3C6CA-C4CF-4968-BF1D-3C165EC7B0CD}" name="positive movements"/>
    <tableColumn id="8" xr3:uid="{DE7F2D1F-7B06-4B77-B160-45A555A61A79}" name="Positive movements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F13987-BBB6-4A02-9DD2-B201BC696E8E}" name="Table7" displayName="Table7" ref="A1:H8" totalsRowShown="0">
  <autoFilter ref="A1:H8" xr:uid="{E2F13987-BBB6-4A02-9DD2-B201BC696E8E}"/>
  <tableColumns count="8">
    <tableColumn id="1" xr3:uid="{41788A5C-A8EC-4131-B032-B5D22D116AB1}" name="condition"/>
    <tableColumn id="2" xr3:uid="{576A6472-8E2A-4346-AAD7-C7B906D76AD8}" name="minutes forward"/>
    <tableColumn id="3" xr3:uid="{580D0249-4D2C-4A07-9150-EE1131395825}" name="events"/>
    <tableColumn id="4" xr3:uid="{E04CD050-5102-4C99-905F-87C4FAB6AF3B}" name="average movement(%)"/>
    <tableColumn id="5" xr3:uid="{9A9D9860-1C71-420C-AC2D-C7E358540C61}" name="median movement(%)"/>
    <tableColumn id="6" xr3:uid="{3382D7A5-61AA-4A7A-8958-902097953528}" name="standard deviation (%)"/>
    <tableColumn id="7" xr3:uid="{CBE60BE7-D702-4780-B5A7-9EEA5636C303}" name="positive movements"/>
    <tableColumn id="8" xr3:uid="{F173DABE-2B6D-4217-8BB2-C41E2FDC9E7D}" name="Positive movements (%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704B26-76DE-47A4-847F-E8B3EB7607BD}" name="Table8" displayName="Table8" ref="A1:H8" totalsRowShown="0">
  <autoFilter ref="A1:H8" xr:uid="{20704B26-76DE-47A4-847F-E8B3EB7607BD}"/>
  <tableColumns count="8">
    <tableColumn id="1" xr3:uid="{D351D8E0-EEC9-434A-A102-4003436AD67C}" name="condition"/>
    <tableColumn id="2" xr3:uid="{2823C977-5D93-4201-8A9B-872A6020AC50}" name="minutes forward"/>
    <tableColumn id="3" xr3:uid="{17E89CFA-78B3-46CC-92FB-EE69E5F07B9C}" name="events"/>
    <tableColumn id="4" xr3:uid="{724FE2B6-DCA4-4869-9A25-017966AC82C8}" name="average movement(%)"/>
    <tableColumn id="5" xr3:uid="{888C64A1-8166-4999-9BD3-53715DC84CBD}" name="median movement(%)"/>
    <tableColumn id="6" xr3:uid="{77DF5B7E-D970-4866-9723-103F12B89937}" name="standard deviation (%)"/>
    <tableColumn id="7" xr3:uid="{B50B6169-CBA2-4A44-99CD-FA9991987B83}" name="positive movements"/>
    <tableColumn id="8" xr3:uid="{B1E6D537-91E0-48F0-95D8-B6F5B3046DB6}" name="Positive movements (%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CDECA8-175C-4009-82BD-F136B0ADA0A2}" name="Table9" displayName="Table9" ref="A1:H8" totalsRowShown="0">
  <autoFilter ref="A1:H8" xr:uid="{CECDECA8-175C-4009-82BD-F136B0ADA0A2}"/>
  <tableColumns count="8">
    <tableColumn id="1" xr3:uid="{43B077E8-57EC-462F-BDC2-EFBC8EFA94FD}" name="condition"/>
    <tableColumn id="2" xr3:uid="{17E12AF4-4C6A-4C3C-82FD-D6442C18A459}" name="minutes forward"/>
    <tableColumn id="3" xr3:uid="{D218F38A-51AF-4D56-A4A7-A47AAE6F4829}" name="events"/>
    <tableColumn id="4" xr3:uid="{C3EF5C51-8B1A-46AD-BBF6-8F04B82C9BC4}" name="average movement(%)"/>
    <tableColumn id="5" xr3:uid="{2FB3E337-9195-4FB6-9FF5-F65C740922D9}" name="median movement(%)"/>
    <tableColumn id="6" xr3:uid="{9DD8A169-8F39-4F2E-A6A4-B610255932A6}" name="standard deviation (%)"/>
    <tableColumn id="7" xr3:uid="{FE283A0E-BB08-482F-AEE5-8845E7924548}" name="positive movements"/>
    <tableColumn id="8" xr3:uid="{60486B6E-1F6F-42CE-81A8-E78217659E59}" name="Positive movements (%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19A360-28D6-48CA-9CCA-43B43D2623CE}" name="Table10" displayName="Table10" ref="A1:H8" totalsRowShown="0">
  <autoFilter ref="A1:H8" xr:uid="{F319A360-28D6-48CA-9CCA-43B43D2623CE}"/>
  <tableColumns count="8">
    <tableColumn id="1" xr3:uid="{CB90A334-0A58-4E95-AA85-23363EF8B389}" name="condition"/>
    <tableColumn id="2" xr3:uid="{79463AFA-FB6F-4478-849B-65BB205D319F}" name="minutes forward"/>
    <tableColumn id="3" xr3:uid="{2F596B8A-DB3F-405A-B0CD-7AE083F02E4E}" name="events"/>
    <tableColumn id="4" xr3:uid="{953CFCD8-CB01-4B7C-BA4C-9A1DA29A6B62}" name="average movement(%)"/>
    <tableColumn id="5" xr3:uid="{B60E3CF5-A577-4CAF-9B24-7C0A563F9FEA}" name="median movement(%)"/>
    <tableColumn id="6" xr3:uid="{BF3BB507-0AB1-4731-B51A-AB48933FA419}" name="standard deviation (%)"/>
    <tableColumn id="7" xr3:uid="{91BE3876-6B79-44CE-9434-3FE55A6AFAB3}" name="positive movements"/>
    <tableColumn id="8" xr3:uid="{ED12E02E-112C-48B4-9CF2-452970DDE8A2}" name="Positive movements (%)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691DC6-126B-4609-B9C4-CC8766375CF8}" name="Table11" displayName="Table11" ref="A1:H8" totalsRowShown="0">
  <autoFilter ref="A1:H8" xr:uid="{AD691DC6-126B-4609-B9C4-CC8766375CF8}"/>
  <tableColumns count="8">
    <tableColumn id="1" xr3:uid="{2403A9B1-B378-4883-A6B5-AFAD44D05C15}" name="condition"/>
    <tableColumn id="2" xr3:uid="{075A1EBA-3E2A-4156-A433-5CDE182BDAAE}" name="minutes forward"/>
    <tableColumn id="3" xr3:uid="{FA7C28EE-4DE1-4768-8D62-5937B909A1D1}" name="events"/>
    <tableColumn id="4" xr3:uid="{BDF6FFA1-4847-4CDC-B8F8-EEFB3701BA2C}" name="average movement(%)"/>
    <tableColumn id="5" xr3:uid="{D0633461-E43D-46DA-8177-43EA7A942EF3}" name="median movement(%)"/>
    <tableColumn id="6" xr3:uid="{14AFFD7F-8AA1-4310-9EBB-533F92E239E9}" name="standard deviation (%)"/>
    <tableColumn id="7" xr3:uid="{030CAF4C-BA3B-4306-B86A-0925550C87E7}" name="positive movements"/>
    <tableColumn id="8" xr3:uid="{24F40EE8-778A-4000-8DA8-B0E41CC6CD99}" name="Positive movements (%)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D78720-6F36-4BBC-B3DB-3A5400C630D2}" name="Table12" displayName="Table12" ref="A1:D11" totalsRowShown="0">
  <autoFilter ref="A1:D11" xr:uid="{01D78720-6F36-4BBC-B3DB-3A5400C630D2}"/>
  <tableColumns count="4">
    <tableColumn id="1" xr3:uid="{BA0E93BE-D666-4503-91BA-7468421D55CD}" name="Condition"/>
    <tableColumn id="2" xr3:uid="{97B5B587-4A5D-4BC9-9CB9-CB98436E8914}" name="Minutes Forward"/>
    <tableColumn id="3" xr3:uid="{5BF4CE9E-6D7A-45BC-B73D-4647F7005614}" name="Pearson Correlation"/>
    <tableColumn id="4" xr3:uid="{6620D09E-D4C7-4920-BD0A-7928C3AA2EEC}" name="Spearman Correl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D4B68-E30F-47E0-A769-DC9D4B784A96}" name="Table2" displayName="Table2" ref="B1:L41" totalsRowShown="0">
  <autoFilter ref="B1:L41" xr:uid="{56BD4B68-E30F-47E0-A769-DC9D4B784A96}"/>
  <tableColumns count="11">
    <tableColumn id="2" xr3:uid="{EF213C17-5C8F-4866-B348-C7E66DA4B998}" name="Condition"/>
    <tableColumn id="3" xr3:uid="{5BD284F6-B0D0-485F-9CDE-8EB981F1D61F}" name="Minutes Forward"/>
    <tableColumn id="6" xr3:uid="{830C070C-6151-4FF3-BFAF-9185FF968552}" name="Estimate" dataDxfId="6"/>
    <tableColumn id="8" xr3:uid="{CD5FD43A-EC69-446E-9A8D-DC210964ADBB}" name="t-statistic" dataDxfId="5"/>
    <tableColumn id="9" xr3:uid="{7B13A106-38C2-4514-AC77-BB6E60DA3E0E}" name="p-value" dataDxfId="4"/>
    <tableColumn id="10" xr3:uid="{D3C27814-2FD0-4BA2-B314-AEE6DDAFBD7E}" name="95% CI lower" dataDxfId="3"/>
    <tableColumn id="11" xr3:uid="{D77B5FBC-5942-4376-BA1D-A6EFD62DEF70}" name="95% CI upper" dataDxfId="2"/>
    <tableColumn id="12" xr3:uid="{A884EDE2-093B-4CCF-B751-C27B27E9E522}" name="Direction" dataDxfId="1"/>
    <tableColumn id="13" xr3:uid="{B4551D3C-E256-4BE1-BD64-5CCA5827706F}" name="Adjusted p-value" dataDxfId="0"/>
    <tableColumn id="14" xr3:uid="{9AD1D935-BB5C-430F-98AF-0A0F0325D687}" name="Significant at 5%"/>
    <tableColumn id="15" xr3:uid="{59CD84D3-882F-435D-B86F-00A1EC9A200E}" name="Significant after adjustm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EC216-4E5E-4168-B075-852962605EC6}" name="Table1" displayName="Table1" ref="A1:G5" totalsRowShown="0">
  <autoFilter ref="A1:G5" xr:uid="{A94EC216-4E5E-4168-B075-852962605EC6}"/>
  <tableColumns count="7">
    <tableColumn id="1" xr3:uid="{D02F17E9-7651-4F84-8E53-077001364308}" name="Condition"/>
    <tableColumn id="2" xr3:uid="{CBA2706D-314A-4582-B581-11266CC3533B}" name="Minutes Forward"/>
    <tableColumn id="8" xr3:uid="{66C8BC4E-FF66-4136-98BF-D98ED2797BBC}" name="Position"/>
    <tableColumn id="9" xr3:uid="{60272B78-C01B-4974-A174-682706DFE71B}" name="Trades"/>
    <tableColumn id="4" xr3:uid="{EA88D526-9C4A-498F-ADC2-58613E01FB07}" name="Gross Return (%)"/>
    <tableColumn id="6" xr3:uid="{4AE85713-C43E-4013-960B-AA0D2EADEACC}" name="Net profit (%)"/>
    <tableColumn id="7" xr3:uid="{A50D69F0-35A7-454D-A5F5-8A5CF15C4A0F}" name="Profitable trades after fe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1C1F-5BFD-4FA2-90DD-CC349DEE6365}">
  <dimension ref="A1:P41"/>
  <sheetViews>
    <sheetView workbookViewId="0">
      <selection activeCell="E18" sqref="E18"/>
    </sheetView>
  </sheetViews>
  <sheetFormatPr defaultRowHeight="15" x14ac:dyDescent="0.25"/>
  <cols>
    <col min="1" max="1" width="21.42578125" customWidth="1"/>
    <col min="2" max="2" width="14.28515625" customWidth="1"/>
    <col min="3" max="3" width="17.85546875" customWidth="1"/>
    <col min="4" max="4" width="21.5703125" customWidth="1"/>
    <col min="5" max="5" width="22.85546875" customWidth="1"/>
    <col min="6" max="6" width="22.5703125" customWidth="1"/>
    <col min="7" max="7" width="20.28515625" customWidth="1"/>
    <col min="8" max="8" width="22.42578125" customWidth="1"/>
    <col min="9" max="9" width="23.85546875" customWidth="1"/>
    <col min="10" max="10" width="24" customWidth="1"/>
    <col min="11" max="11" width="19" customWidth="1"/>
    <col min="12" max="12" width="24.5703125" customWidth="1"/>
    <col min="13" max="13" width="19.85546875" customWidth="1"/>
    <col min="14" max="14" width="27.85546875" customWidth="1"/>
    <col min="15" max="15" width="23.140625" customWidth="1"/>
    <col min="16" max="16" width="27.42578125" customWidth="1"/>
  </cols>
  <sheetData>
    <row r="1" spans="1:16" x14ac:dyDescent="0.25">
      <c r="A1" t="s">
        <v>24</v>
      </c>
      <c r="B1" t="s">
        <v>25</v>
      </c>
      <c r="C1" t="s">
        <v>0</v>
      </c>
      <c r="D1" t="s">
        <v>1</v>
      </c>
      <c r="E1" t="s">
        <v>26</v>
      </c>
      <c r="F1" t="s">
        <v>27</v>
      </c>
      <c r="G1" t="s">
        <v>44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5">
      <c r="A2" t="s">
        <v>37</v>
      </c>
      <c r="B2" t="s">
        <v>38</v>
      </c>
      <c r="C2" t="s">
        <v>8</v>
      </c>
      <c r="D2">
        <v>1</v>
      </c>
      <c r="E2">
        <v>568779</v>
      </c>
      <c r="F2">
        <v>28440</v>
      </c>
      <c r="G2" s="7">
        <v>-1.5400326384821591E-3</v>
      </c>
      <c r="H2" s="7">
        <v>6.2414526876574804E-4</v>
      </c>
      <c r="I2" s="7">
        <v>-2.4674266001047882</v>
      </c>
      <c r="J2" s="7">
        <v>1.3608811865588259E-2</v>
      </c>
      <c r="K2" s="7">
        <v>-2.7633348863840969E-3</v>
      </c>
      <c r="L2" s="7">
        <v>-3.1673039058022022E-4</v>
      </c>
      <c r="M2" s="7" t="s">
        <v>39</v>
      </c>
      <c r="N2" s="7">
        <v>0.4238113156749384</v>
      </c>
      <c r="O2" t="b">
        <v>1</v>
      </c>
      <c r="P2" t="b">
        <v>0</v>
      </c>
    </row>
    <row r="3" spans="1:16" x14ac:dyDescent="0.25">
      <c r="A3" t="s">
        <v>37</v>
      </c>
      <c r="B3" t="s">
        <v>38</v>
      </c>
      <c r="C3" t="s">
        <v>9</v>
      </c>
      <c r="D3">
        <v>1</v>
      </c>
      <c r="E3">
        <v>568779</v>
      </c>
      <c r="F3">
        <v>28439</v>
      </c>
      <c r="G3" s="7">
        <v>2.091223196685327E-3</v>
      </c>
      <c r="H3" s="7">
        <v>6.2364317948528493E-4</v>
      </c>
      <c r="I3" s="7">
        <v>3.3532366992472991</v>
      </c>
      <c r="J3" s="7">
        <v>7.9872368441324623E-4</v>
      </c>
      <c r="K3" s="7">
        <v>8.6890502569012028E-4</v>
      </c>
      <c r="L3" s="7">
        <v>3.313541367680535E-3</v>
      </c>
      <c r="M3" s="7" t="s">
        <v>39</v>
      </c>
      <c r="N3" s="7">
        <v>2.9578777229426711E-2</v>
      </c>
      <c r="O3" t="b">
        <v>1</v>
      </c>
      <c r="P3" t="b">
        <v>1</v>
      </c>
    </row>
    <row r="4" spans="1:16" x14ac:dyDescent="0.25">
      <c r="A4" t="s">
        <v>37</v>
      </c>
      <c r="B4" t="s">
        <v>38</v>
      </c>
      <c r="C4" t="s">
        <v>8</v>
      </c>
      <c r="D4">
        <v>5</v>
      </c>
      <c r="E4">
        <v>568771</v>
      </c>
      <c r="F4">
        <v>28440</v>
      </c>
      <c r="G4" s="7">
        <v>-4.3518906788852308E-3</v>
      </c>
      <c r="H4" s="7">
        <v>1.498341003607279E-3</v>
      </c>
      <c r="I4" s="7">
        <v>-2.9044727925138449</v>
      </c>
      <c r="J4" s="7">
        <v>3.6787217516137719E-3</v>
      </c>
      <c r="K4" s="7">
        <v>-7.2885850825150974E-3</v>
      </c>
      <c r="L4" s="7">
        <v>-1.415196275255365E-3</v>
      </c>
      <c r="M4" s="7" t="s">
        <v>39</v>
      </c>
      <c r="N4" s="7">
        <v>0.13243398305809581</v>
      </c>
      <c r="O4" t="b">
        <v>1</v>
      </c>
      <c r="P4" t="b">
        <v>0</v>
      </c>
    </row>
    <row r="5" spans="1:16" x14ac:dyDescent="0.25">
      <c r="A5" t="s">
        <v>37</v>
      </c>
      <c r="B5" t="s">
        <v>38</v>
      </c>
      <c r="C5" t="s">
        <v>9</v>
      </c>
      <c r="D5">
        <v>5</v>
      </c>
      <c r="E5">
        <v>568771</v>
      </c>
      <c r="F5">
        <v>28438</v>
      </c>
      <c r="G5" s="7">
        <v>4.2438949524630579E-3</v>
      </c>
      <c r="H5" s="7">
        <v>1.7739639837361281E-3</v>
      </c>
      <c r="I5" s="7">
        <v>2.392323063698865</v>
      </c>
      <c r="J5" s="7">
        <v>1.674209832458513E-2</v>
      </c>
      <c r="K5" s="7">
        <v>7.6698943446904845E-4</v>
      </c>
      <c r="L5" s="7">
        <v>7.7208004704570673E-3</v>
      </c>
      <c r="M5" s="7" t="s">
        <v>39</v>
      </c>
      <c r="N5" s="7">
        <v>0.48552085141296869</v>
      </c>
      <c r="O5" t="b">
        <v>1</v>
      </c>
      <c r="P5" t="b">
        <v>0</v>
      </c>
    </row>
    <row r="6" spans="1:16" x14ac:dyDescent="0.25">
      <c r="A6" t="s">
        <v>37</v>
      </c>
      <c r="B6" t="s">
        <v>38</v>
      </c>
      <c r="C6" t="s">
        <v>8</v>
      </c>
      <c r="D6">
        <v>15</v>
      </c>
      <c r="E6">
        <v>568751</v>
      </c>
      <c r="F6">
        <v>28440</v>
      </c>
      <c r="G6" s="7">
        <v>-4.0741993497698638E-3</v>
      </c>
      <c r="H6" s="7">
        <v>3.1976755680812748E-3</v>
      </c>
      <c r="I6" s="7">
        <v>-1.2741127931920051</v>
      </c>
      <c r="J6" s="7">
        <v>0.20262344514812611</v>
      </c>
      <c r="K6" s="7">
        <v>-1.034152829745282E-2</v>
      </c>
      <c r="L6" s="7">
        <v>2.193129597913093E-3</v>
      </c>
      <c r="M6" s="7" t="s">
        <v>39</v>
      </c>
      <c r="N6" s="7">
        <v>1</v>
      </c>
      <c r="O6" t="b">
        <v>0</v>
      </c>
      <c r="P6" t="b">
        <v>0</v>
      </c>
    </row>
    <row r="7" spans="1:16" x14ac:dyDescent="0.25">
      <c r="A7" t="s">
        <v>37</v>
      </c>
      <c r="B7" t="s">
        <v>38</v>
      </c>
      <c r="C7" t="s">
        <v>9</v>
      </c>
      <c r="D7">
        <v>15</v>
      </c>
      <c r="E7">
        <v>568751</v>
      </c>
      <c r="F7">
        <v>28438</v>
      </c>
      <c r="G7" s="7">
        <v>7.3941477194831816E-3</v>
      </c>
      <c r="H7" s="7">
        <v>3.4801490189425859E-3</v>
      </c>
      <c r="I7" s="7">
        <v>2.1246641104264641</v>
      </c>
      <c r="J7" s="7">
        <v>3.3614650189094437E-2</v>
      </c>
      <c r="K7" s="7">
        <v>5.7318098152331094E-4</v>
      </c>
      <c r="L7" s="7">
        <v>1.421511445744305E-2</v>
      </c>
      <c r="M7" s="7" t="s">
        <v>39</v>
      </c>
      <c r="N7" s="7">
        <v>0.84848114908902106</v>
      </c>
      <c r="O7" t="b">
        <v>1</v>
      </c>
      <c r="P7" t="b">
        <v>0</v>
      </c>
    </row>
    <row r="8" spans="1:16" x14ac:dyDescent="0.25">
      <c r="A8" t="s">
        <v>37</v>
      </c>
      <c r="B8" t="s">
        <v>38</v>
      </c>
      <c r="C8" t="s">
        <v>8</v>
      </c>
      <c r="D8">
        <v>30</v>
      </c>
      <c r="E8">
        <v>568732</v>
      </c>
      <c r="F8">
        <v>28439</v>
      </c>
      <c r="G8" s="7">
        <v>-3.9566250123335396E-3</v>
      </c>
      <c r="H8" s="7">
        <v>5.0667456585218318E-3</v>
      </c>
      <c r="I8" s="7">
        <v>-0.78090065675170328</v>
      </c>
      <c r="J8" s="7">
        <v>0.43486092578861463</v>
      </c>
      <c r="K8" s="7">
        <v>-1.3887264021861009E-2</v>
      </c>
      <c r="L8" s="7">
        <v>5.9740139971939292E-3</v>
      </c>
      <c r="M8" s="7" t="s">
        <v>39</v>
      </c>
      <c r="N8" s="7">
        <v>1</v>
      </c>
      <c r="O8" t="b">
        <v>0</v>
      </c>
      <c r="P8" t="b">
        <v>0</v>
      </c>
    </row>
    <row r="9" spans="1:16" x14ac:dyDescent="0.25">
      <c r="A9" t="s">
        <v>37</v>
      </c>
      <c r="B9" t="s">
        <v>38</v>
      </c>
      <c r="C9" t="s">
        <v>9</v>
      </c>
      <c r="D9">
        <v>30</v>
      </c>
      <c r="E9">
        <v>568732</v>
      </c>
      <c r="F9">
        <v>28440</v>
      </c>
      <c r="G9" s="7">
        <v>1.1726508245809579E-2</v>
      </c>
      <c r="H9" s="7">
        <v>5.7928517545811466E-3</v>
      </c>
      <c r="I9" s="7">
        <v>2.0243066355937609</v>
      </c>
      <c r="J9" s="7">
        <v>4.2938611311488198E-2</v>
      </c>
      <c r="K9" s="7">
        <v>3.7272743905087009E-4</v>
      </c>
      <c r="L9" s="7">
        <v>2.308028905256829E-2</v>
      </c>
      <c r="M9" s="7" t="s">
        <v>39</v>
      </c>
      <c r="N9" s="7">
        <v>0.98758806016422873</v>
      </c>
      <c r="O9" t="b">
        <v>1</v>
      </c>
      <c r="P9" t="b">
        <v>0</v>
      </c>
    </row>
    <row r="10" spans="1:16" x14ac:dyDescent="0.25">
      <c r="A10" t="s">
        <v>37</v>
      </c>
      <c r="B10" t="s">
        <v>38</v>
      </c>
      <c r="C10" t="s">
        <v>8</v>
      </c>
      <c r="D10">
        <v>60</v>
      </c>
      <c r="E10">
        <v>568702</v>
      </c>
      <c r="F10">
        <v>28440</v>
      </c>
      <c r="G10" s="7">
        <v>-1.782724746311368E-3</v>
      </c>
      <c r="H10" s="7">
        <v>8.4696661719642959E-3</v>
      </c>
      <c r="I10" s="7">
        <v>-0.210483472443391</v>
      </c>
      <c r="J10" s="7">
        <v>0.8332903498166796</v>
      </c>
      <c r="K10" s="7">
        <v>-1.8382965404438619E-2</v>
      </c>
      <c r="L10" s="7">
        <v>1.481751591181588E-2</v>
      </c>
      <c r="M10" s="7" t="s">
        <v>39</v>
      </c>
      <c r="N10" s="7">
        <v>1</v>
      </c>
      <c r="O10" t="b">
        <v>0</v>
      </c>
      <c r="P10" t="b">
        <v>0</v>
      </c>
    </row>
    <row r="11" spans="1:16" x14ac:dyDescent="0.25">
      <c r="A11" t="s">
        <v>37</v>
      </c>
      <c r="B11" t="s">
        <v>38</v>
      </c>
      <c r="C11" t="s">
        <v>9</v>
      </c>
      <c r="D11">
        <v>60</v>
      </c>
      <c r="E11">
        <v>568702</v>
      </c>
      <c r="F11">
        <v>28438</v>
      </c>
      <c r="G11" s="7">
        <v>1.702593739155811E-2</v>
      </c>
      <c r="H11" s="7">
        <v>8.7697506489364096E-3</v>
      </c>
      <c r="I11" s="7">
        <v>1.9414391666452919</v>
      </c>
      <c r="J11" s="7">
        <v>5.2205031467673087E-2</v>
      </c>
      <c r="K11" s="7">
        <v>-1.6245803375401771E-4</v>
      </c>
      <c r="L11" s="7">
        <v>3.4214332816870252E-2</v>
      </c>
      <c r="M11" s="7" t="s">
        <v>39</v>
      </c>
      <c r="N11" s="7">
        <v>1</v>
      </c>
      <c r="O11" t="b">
        <v>0</v>
      </c>
      <c r="P11" t="b">
        <v>0</v>
      </c>
    </row>
    <row r="12" spans="1:16" x14ac:dyDescent="0.25">
      <c r="A12" t="s">
        <v>37</v>
      </c>
      <c r="B12" t="s">
        <v>40</v>
      </c>
      <c r="C12" t="s">
        <v>10</v>
      </c>
      <c r="D12">
        <v>1</v>
      </c>
      <c r="E12">
        <v>568779</v>
      </c>
      <c r="F12">
        <v>5688</v>
      </c>
      <c r="G12" s="7">
        <v>-2.6682999858485329E-3</v>
      </c>
      <c r="H12" s="7">
        <v>1.8616589940377811E-3</v>
      </c>
      <c r="I12" s="7">
        <v>-1.4332914859241841</v>
      </c>
      <c r="J12" s="7">
        <v>0.15177455410964899</v>
      </c>
      <c r="K12" s="7">
        <v>-6.3170845656576524E-3</v>
      </c>
      <c r="L12" s="7">
        <v>9.8048459396058449E-4</v>
      </c>
      <c r="M12" s="7" t="s">
        <v>39</v>
      </c>
      <c r="N12" s="7">
        <v>1</v>
      </c>
      <c r="O12" t="b">
        <v>0</v>
      </c>
      <c r="P12" t="b">
        <v>0</v>
      </c>
    </row>
    <row r="13" spans="1:16" x14ac:dyDescent="0.25">
      <c r="A13" t="s">
        <v>37</v>
      </c>
      <c r="B13" t="s">
        <v>40</v>
      </c>
      <c r="C13" t="s">
        <v>11</v>
      </c>
      <c r="D13">
        <v>1</v>
      </c>
      <c r="E13">
        <v>568779</v>
      </c>
      <c r="F13">
        <v>5687</v>
      </c>
      <c r="G13" s="7">
        <v>4.7529456595325663E-3</v>
      </c>
      <c r="H13" s="7">
        <v>2.026326793539166E-3</v>
      </c>
      <c r="I13" s="7">
        <v>2.3455968083169401</v>
      </c>
      <c r="J13" s="7">
        <v>1.8996644625432001E-2</v>
      </c>
      <c r="K13" s="7">
        <v>7.8141812328727089E-4</v>
      </c>
      <c r="L13" s="7">
        <v>8.7244731957778626E-3</v>
      </c>
      <c r="M13" s="7" t="s">
        <v>39</v>
      </c>
      <c r="N13" s="7">
        <v>0.53190604951209619</v>
      </c>
      <c r="O13" t="b">
        <v>1</v>
      </c>
      <c r="P13" t="b">
        <v>0</v>
      </c>
    </row>
    <row r="14" spans="1:16" x14ac:dyDescent="0.25">
      <c r="A14" t="s">
        <v>37</v>
      </c>
      <c r="B14" t="s">
        <v>40</v>
      </c>
      <c r="C14" t="s">
        <v>10</v>
      </c>
      <c r="D14">
        <v>5</v>
      </c>
      <c r="E14">
        <v>568771</v>
      </c>
      <c r="F14">
        <v>5688</v>
      </c>
      <c r="G14" s="7">
        <v>-6.2840009421830639E-3</v>
      </c>
      <c r="H14" s="7">
        <v>3.805333263334377E-3</v>
      </c>
      <c r="I14" s="7">
        <v>-1.6513667811257049</v>
      </c>
      <c r="J14" s="7">
        <v>9.8663703596176336E-2</v>
      </c>
      <c r="K14" s="7">
        <v>-1.374231708749072E-2</v>
      </c>
      <c r="L14" s="7">
        <v>1.174315203124589E-3</v>
      </c>
      <c r="M14" s="7" t="s">
        <v>39</v>
      </c>
      <c r="N14" s="7">
        <v>1</v>
      </c>
      <c r="O14" t="b">
        <v>0</v>
      </c>
      <c r="P14" t="b">
        <v>0</v>
      </c>
    </row>
    <row r="15" spans="1:16" x14ac:dyDescent="0.25">
      <c r="A15" t="s">
        <v>37</v>
      </c>
      <c r="B15" t="s">
        <v>40</v>
      </c>
      <c r="C15" t="s">
        <v>11</v>
      </c>
      <c r="D15">
        <v>5</v>
      </c>
      <c r="E15">
        <v>568771</v>
      </c>
      <c r="F15">
        <v>5687</v>
      </c>
      <c r="G15" s="7">
        <v>9.7467012697921053E-3</v>
      </c>
      <c r="H15" s="7">
        <v>6.0223733402110678E-3</v>
      </c>
      <c r="I15" s="7">
        <v>1.618415318876679</v>
      </c>
      <c r="J15" s="7">
        <v>0.10557312284528959</v>
      </c>
      <c r="K15" s="7">
        <v>-2.0569335784757729E-3</v>
      </c>
      <c r="L15" s="7">
        <v>2.1550336118059982E-2</v>
      </c>
      <c r="M15" s="7" t="s">
        <v>39</v>
      </c>
      <c r="N15" s="7">
        <v>1</v>
      </c>
      <c r="O15" t="b">
        <v>0</v>
      </c>
      <c r="P15" t="b">
        <v>0</v>
      </c>
    </row>
    <row r="16" spans="1:16" x14ac:dyDescent="0.25">
      <c r="A16" t="s">
        <v>37</v>
      </c>
      <c r="B16" t="s">
        <v>40</v>
      </c>
      <c r="C16" t="s">
        <v>10</v>
      </c>
      <c r="D16">
        <v>15</v>
      </c>
      <c r="E16">
        <v>568751</v>
      </c>
      <c r="F16">
        <v>5688</v>
      </c>
      <c r="G16" s="7">
        <v>-9.4443021633911217E-3</v>
      </c>
      <c r="H16" s="7">
        <v>7.673970935148342E-3</v>
      </c>
      <c r="I16" s="7">
        <v>-1.2306929806228879</v>
      </c>
      <c r="J16" s="7">
        <v>0.21843771440225379</v>
      </c>
      <c r="K16" s="7">
        <v>-2.4485008814689031E-2</v>
      </c>
      <c r="L16" s="7">
        <v>5.5964044879067872E-3</v>
      </c>
      <c r="M16" s="7" t="s">
        <v>39</v>
      </c>
      <c r="N16" s="7">
        <v>1</v>
      </c>
      <c r="O16" t="b">
        <v>0</v>
      </c>
      <c r="P16" t="b">
        <v>0</v>
      </c>
    </row>
    <row r="17" spans="1:16" x14ac:dyDescent="0.25">
      <c r="A17" t="s">
        <v>37</v>
      </c>
      <c r="B17" t="s">
        <v>40</v>
      </c>
      <c r="C17" t="s">
        <v>11</v>
      </c>
      <c r="D17">
        <v>15</v>
      </c>
      <c r="E17">
        <v>568751</v>
      </c>
      <c r="F17">
        <v>5687</v>
      </c>
      <c r="G17" s="7">
        <v>1.8352779531499629E-2</v>
      </c>
      <c r="H17" s="7">
        <v>9.5529986098501895E-3</v>
      </c>
      <c r="I17" s="7">
        <v>1.9211537948488659</v>
      </c>
      <c r="J17" s="7">
        <v>5.4712321317575127E-2</v>
      </c>
      <c r="K17" s="7">
        <v>-3.7075368816794421E-4</v>
      </c>
      <c r="L17" s="7">
        <v>3.7076312751167212E-2</v>
      </c>
      <c r="M17" s="7" t="s">
        <v>39</v>
      </c>
      <c r="N17" s="7">
        <v>1</v>
      </c>
      <c r="O17" t="b">
        <v>0</v>
      </c>
      <c r="P17" t="b">
        <v>0</v>
      </c>
    </row>
    <row r="18" spans="1:16" x14ac:dyDescent="0.25">
      <c r="A18" t="s">
        <v>37</v>
      </c>
      <c r="B18" t="s">
        <v>40</v>
      </c>
      <c r="C18" t="s">
        <v>10</v>
      </c>
      <c r="D18">
        <v>30</v>
      </c>
      <c r="E18">
        <v>568732</v>
      </c>
      <c r="F18">
        <v>5688</v>
      </c>
      <c r="G18" s="7">
        <v>-2.5022239741123442E-3</v>
      </c>
      <c r="H18" s="7">
        <v>1.15286586868993E-2</v>
      </c>
      <c r="I18" s="7">
        <v>-0.21704380726925071</v>
      </c>
      <c r="J18" s="7">
        <v>0.82817420529965569</v>
      </c>
      <c r="K18" s="7">
        <v>-2.5097979790489802E-2</v>
      </c>
      <c r="L18" s="7">
        <v>2.009353184226511E-2</v>
      </c>
      <c r="M18" s="7" t="s">
        <v>39</v>
      </c>
      <c r="N18" s="7">
        <v>1</v>
      </c>
      <c r="O18" t="b">
        <v>0</v>
      </c>
      <c r="P18" t="b">
        <v>0</v>
      </c>
    </row>
    <row r="19" spans="1:16" x14ac:dyDescent="0.25">
      <c r="A19" t="s">
        <v>37</v>
      </c>
      <c r="B19" t="s">
        <v>40</v>
      </c>
      <c r="C19" t="s">
        <v>11</v>
      </c>
      <c r="D19">
        <v>30</v>
      </c>
      <c r="E19">
        <v>568732</v>
      </c>
      <c r="F19">
        <v>5688</v>
      </c>
      <c r="G19" s="7">
        <v>2.5724864712720251E-2</v>
      </c>
      <c r="H19" s="7">
        <v>1.469840737859259E-2</v>
      </c>
      <c r="I19" s="7">
        <v>1.7501804141166399</v>
      </c>
      <c r="J19" s="7">
        <v>8.0087187349220629E-2</v>
      </c>
      <c r="K19" s="7">
        <v>-3.083484379419008E-3</v>
      </c>
      <c r="L19" s="7">
        <v>5.4533213804859509E-2</v>
      </c>
      <c r="M19" s="7" t="s">
        <v>39</v>
      </c>
      <c r="N19" s="7">
        <v>1</v>
      </c>
      <c r="O19" t="b">
        <v>0</v>
      </c>
      <c r="P19" t="b">
        <v>0</v>
      </c>
    </row>
    <row r="20" spans="1:16" x14ac:dyDescent="0.25">
      <c r="A20" t="s">
        <v>37</v>
      </c>
      <c r="B20" t="s">
        <v>40</v>
      </c>
      <c r="C20" t="s">
        <v>10</v>
      </c>
      <c r="D20">
        <v>60</v>
      </c>
      <c r="E20">
        <v>568702</v>
      </c>
      <c r="F20">
        <v>5688</v>
      </c>
      <c r="G20" s="7">
        <v>1.0804201525348139E-2</v>
      </c>
      <c r="H20" s="7">
        <v>1.8170779527190959E-2</v>
      </c>
      <c r="I20" s="7">
        <v>0.59459207620568011</v>
      </c>
      <c r="J20" s="7">
        <v>0.55211617795709578</v>
      </c>
      <c r="K20" s="7">
        <v>-2.4809871918963888E-2</v>
      </c>
      <c r="L20" s="7">
        <v>4.6418274969660167E-2</v>
      </c>
      <c r="M20" s="7" t="s">
        <v>41</v>
      </c>
      <c r="N20" s="7">
        <v>1</v>
      </c>
      <c r="O20" t="b">
        <v>0</v>
      </c>
      <c r="P20" t="b">
        <v>0</v>
      </c>
    </row>
    <row r="21" spans="1:16" x14ac:dyDescent="0.25">
      <c r="A21" t="s">
        <v>37</v>
      </c>
      <c r="B21" t="s">
        <v>40</v>
      </c>
      <c r="C21" t="s">
        <v>11</v>
      </c>
      <c r="D21">
        <v>60</v>
      </c>
      <c r="E21">
        <v>568702</v>
      </c>
      <c r="F21">
        <v>5688</v>
      </c>
      <c r="G21" s="7">
        <v>4.2420309218614408E-2</v>
      </c>
      <c r="H21" s="7">
        <v>1.9854500804523521E-2</v>
      </c>
      <c r="I21" s="7">
        <v>2.1365588405501308</v>
      </c>
      <c r="J21" s="7">
        <v>3.2633890349577727E-2</v>
      </c>
      <c r="K21" s="7">
        <v>3.5062027107267829E-3</v>
      </c>
      <c r="L21" s="7">
        <v>8.1334415726502046E-2</v>
      </c>
      <c r="M21" s="7" t="s">
        <v>39</v>
      </c>
      <c r="N21" s="7">
        <v>0.84848114908902106</v>
      </c>
      <c r="O21" t="b">
        <v>1</v>
      </c>
      <c r="P21" t="b">
        <v>0</v>
      </c>
    </row>
    <row r="22" spans="1:16" x14ac:dyDescent="0.25">
      <c r="A22" t="s">
        <v>42</v>
      </c>
      <c r="B22" t="s">
        <v>38</v>
      </c>
      <c r="C22" t="s">
        <v>20</v>
      </c>
      <c r="D22">
        <v>1</v>
      </c>
      <c r="E22">
        <v>568779</v>
      </c>
      <c r="F22">
        <v>28440</v>
      </c>
      <c r="G22" s="7">
        <v>9.9482921114275868E-4</v>
      </c>
      <c r="H22" s="7">
        <v>2.5014929308894251E-4</v>
      </c>
      <c r="I22" s="7">
        <v>3.9769419247930449</v>
      </c>
      <c r="J22" s="7">
        <v>6.980720485761933E-5</v>
      </c>
      <c r="K22" s="7">
        <v>5.0454560593027711E-4</v>
      </c>
      <c r="L22" s="7">
        <v>1.4851128163552399E-3</v>
      </c>
      <c r="M22" s="7" t="s">
        <v>41</v>
      </c>
      <c r="N22" s="7">
        <v>2.7224809894471542E-3</v>
      </c>
      <c r="O22" t="b">
        <v>1</v>
      </c>
      <c r="P22" t="b">
        <v>1</v>
      </c>
    </row>
    <row r="23" spans="1:16" x14ac:dyDescent="0.25">
      <c r="A23" t="s">
        <v>42</v>
      </c>
      <c r="B23" t="s">
        <v>38</v>
      </c>
      <c r="C23" t="s">
        <v>21</v>
      </c>
      <c r="D23">
        <v>1</v>
      </c>
      <c r="E23">
        <v>568779</v>
      </c>
      <c r="F23">
        <v>28440</v>
      </c>
      <c r="G23" s="7">
        <v>-8.4423151582325442E-5</v>
      </c>
      <c r="H23" s="7">
        <v>2.5156713195990769E-4</v>
      </c>
      <c r="I23" s="7">
        <v>-0.33558895760587659</v>
      </c>
      <c r="J23" s="7">
        <v>0.737180852131051</v>
      </c>
      <c r="K23" s="7">
        <v>-5.7748566991777986E-4</v>
      </c>
      <c r="L23" s="7">
        <v>4.0863936675312893E-4</v>
      </c>
      <c r="M23" s="7" t="s">
        <v>41</v>
      </c>
      <c r="N23" s="7">
        <v>1</v>
      </c>
      <c r="O23" t="b">
        <v>0</v>
      </c>
      <c r="P23" t="b">
        <v>0</v>
      </c>
    </row>
    <row r="24" spans="1:16" x14ac:dyDescent="0.25">
      <c r="A24" t="s">
        <v>42</v>
      </c>
      <c r="B24" t="s">
        <v>38</v>
      </c>
      <c r="C24" t="s">
        <v>20</v>
      </c>
      <c r="D24">
        <v>5</v>
      </c>
      <c r="E24">
        <v>568771</v>
      </c>
      <c r="F24">
        <v>28440</v>
      </c>
      <c r="G24" s="7">
        <v>1.288396308409217E-3</v>
      </c>
      <c r="H24" s="7">
        <v>6.1319906154479057E-4</v>
      </c>
      <c r="I24" s="7">
        <v>2.1011061320991722</v>
      </c>
      <c r="J24" s="7">
        <v>3.5631650735144391E-2</v>
      </c>
      <c r="K24" s="7">
        <v>8.6548232427667267E-5</v>
      </c>
      <c r="L24" s="7">
        <v>2.490244384390767E-3</v>
      </c>
      <c r="M24" s="7" t="s">
        <v>41</v>
      </c>
      <c r="N24" s="7">
        <v>0.85515961764346538</v>
      </c>
      <c r="O24" t="b">
        <v>1</v>
      </c>
      <c r="P24" t="b">
        <v>0</v>
      </c>
    </row>
    <row r="25" spans="1:16" x14ac:dyDescent="0.25">
      <c r="A25" t="s">
        <v>42</v>
      </c>
      <c r="B25" t="s">
        <v>38</v>
      </c>
      <c r="C25" t="s">
        <v>21</v>
      </c>
      <c r="D25">
        <v>5</v>
      </c>
      <c r="E25">
        <v>568771</v>
      </c>
      <c r="F25">
        <v>28440</v>
      </c>
      <c r="G25" s="7">
        <v>1.2100949313974131E-3</v>
      </c>
      <c r="H25" s="7">
        <v>5.9824078484512974E-4</v>
      </c>
      <c r="I25" s="7">
        <v>2.0227556563377371</v>
      </c>
      <c r="J25" s="7">
        <v>4.3098345577437393E-2</v>
      </c>
      <c r="K25" s="7">
        <v>3.7564539017983373E-5</v>
      </c>
      <c r="L25" s="7">
        <v>2.3826253237768432E-3</v>
      </c>
      <c r="M25" s="7" t="s">
        <v>39</v>
      </c>
      <c r="N25" s="7">
        <v>0.98758806016422873</v>
      </c>
      <c r="O25" t="b">
        <v>1</v>
      </c>
      <c r="P25" t="b">
        <v>0</v>
      </c>
    </row>
    <row r="26" spans="1:16" x14ac:dyDescent="0.25">
      <c r="A26" t="s">
        <v>42</v>
      </c>
      <c r="B26" t="s">
        <v>38</v>
      </c>
      <c r="C26" t="s">
        <v>20</v>
      </c>
      <c r="D26">
        <v>15</v>
      </c>
      <c r="E26">
        <v>568751</v>
      </c>
      <c r="F26">
        <v>28439</v>
      </c>
      <c r="G26" s="7">
        <v>2.1122052565789181E-3</v>
      </c>
      <c r="H26" s="7">
        <v>1.279872035226099E-3</v>
      </c>
      <c r="I26" s="7">
        <v>1.650325343819065</v>
      </c>
      <c r="J26" s="7">
        <v>9.887641140363454E-2</v>
      </c>
      <c r="K26" s="7">
        <v>-3.962978372842145E-4</v>
      </c>
      <c r="L26" s="7">
        <v>4.6207083504420507E-3</v>
      </c>
      <c r="M26" s="7" t="s">
        <v>41</v>
      </c>
      <c r="N26" s="7">
        <v>1</v>
      </c>
      <c r="O26" t="b">
        <v>0</v>
      </c>
      <c r="P26" t="b">
        <v>0</v>
      </c>
    </row>
    <row r="27" spans="1:16" x14ac:dyDescent="0.25">
      <c r="A27" t="s">
        <v>42</v>
      </c>
      <c r="B27" t="s">
        <v>38</v>
      </c>
      <c r="C27" t="s">
        <v>21</v>
      </c>
      <c r="D27">
        <v>15</v>
      </c>
      <c r="E27">
        <v>568751</v>
      </c>
      <c r="F27">
        <v>28439</v>
      </c>
      <c r="G27" s="7">
        <v>2.743391524180809E-3</v>
      </c>
      <c r="H27" s="7">
        <v>1.2546894544752799E-3</v>
      </c>
      <c r="I27" s="7">
        <v>2.1865103866104572</v>
      </c>
      <c r="J27" s="7">
        <v>2.877828562945443E-2</v>
      </c>
      <c r="K27" s="7">
        <v>2.8424538162705138E-4</v>
      </c>
      <c r="L27" s="7">
        <v>5.2025376667345653E-3</v>
      </c>
      <c r="M27" s="7" t="s">
        <v>39</v>
      </c>
      <c r="N27" s="7">
        <v>0.77701371199526947</v>
      </c>
      <c r="O27" t="b">
        <v>1</v>
      </c>
      <c r="P27" t="b">
        <v>0</v>
      </c>
    </row>
    <row r="28" spans="1:16" x14ac:dyDescent="0.25">
      <c r="A28" t="s">
        <v>42</v>
      </c>
      <c r="B28" t="s">
        <v>38</v>
      </c>
      <c r="C28" t="s">
        <v>20</v>
      </c>
      <c r="D28">
        <v>30</v>
      </c>
      <c r="E28">
        <v>568732</v>
      </c>
      <c r="F28">
        <v>28437</v>
      </c>
      <c r="G28" s="7">
        <v>2.059978182058267E-3</v>
      </c>
      <c r="H28" s="7">
        <v>2.1923597062024928E-3</v>
      </c>
      <c r="I28" s="7">
        <v>0.93961687775518787</v>
      </c>
      <c r="J28" s="7">
        <v>0.34741411577959408</v>
      </c>
      <c r="K28" s="7">
        <v>-2.2369678832554331E-3</v>
      </c>
      <c r="L28" s="7">
        <v>6.3569242473719666E-3</v>
      </c>
      <c r="M28" s="7" t="s">
        <v>41</v>
      </c>
      <c r="N28" s="7">
        <v>1</v>
      </c>
      <c r="O28" t="b">
        <v>0</v>
      </c>
      <c r="P28" t="b">
        <v>0</v>
      </c>
    </row>
    <row r="29" spans="1:16" x14ac:dyDescent="0.25">
      <c r="A29" t="s">
        <v>42</v>
      </c>
      <c r="B29" t="s">
        <v>38</v>
      </c>
      <c r="C29" t="s">
        <v>21</v>
      </c>
      <c r="D29">
        <v>30</v>
      </c>
      <c r="E29">
        <v>568732</v>
      </c>
      <c r="F29">
        <v>28438</v>
      </c>
      <c r="G29" s="7">
        <v>3.9848872660607319E-3</v>
      </c>
      <c r="H29" s="7">
        <v>2.1317741393379699E-3</v>
      </c>
      <c r="I29" s="7">
        <v>1.8692821122683529</v>
      </c>
      <c r="J29" s="7">
        <v>6.1583575440219578E-2</v>
      </c>
      <c r="K29" s="7">
        <v>-1.9331327021556051E-4</v>
      </c>
      <c r="L29" s="7">
        <v>8.1630878023370244E-3</v>
      </c>
      <c r="M29" s="7" t="s">
        <v>39</v>
      </c>
      <c r="N29" s="7">
        <v>1</v>
      </c>
      <c r="O29" t="b">
        <v>0</v>
      </c>
      <c r="P29" t="b">
        <v>0</v>
      </c>
    </row>
    <row r="30" spans="1:16" x14ac:dyDescent="0.25">
      <c r="A30" t="s">
        <v>42</v>
      </c>
      <c r="B30" t="s">
        <v>38</v>
      </c>
      <c r="C30" t="s">
        <v>20</v>
      </c>
      <c r="D30">
        <v>60</v>
      </c>
      <c r="E30">
        <v>568702</v>
      </c>
      <c r="F30">
        <v>28440</v>
      </c>
      <c r="G30" s="7">
        <v>3.632674778056779E-3</v>
      </c>
      <c r="H30" s="7">
        <v>3.8488313477617921E-3</v>
      </c>
      <c r="I30" s="7">
        <v>0.94383838880580861</v>
      </c>
      <c r="J30" s="7">
        <v>0.34525224007091182</v>
      </c>
      <c r="K30" s="7">
        <v>-3.9108960461250904E-3</v>
      </c>
      <c r="L30" s="7">
        <v>1.1176245602238649E-2</v>
      </c>
      <c r="M30" s="7" t="s">
        <v>41</v>
      </c>
      <c r="N30" s="7">
        <v>1</v>
      </c>
      <c r="O30" t="b">
        <v>0</v>
      </c>
      <c r="P30" t="b">
        <v>0</v>
      </c>
    </row>
    <row r="31" spans="1:16" x14ac:dyDescent="0.25">
      <c r="A31" t="s">
        <v>42</v>
      </c>
      <c r="B31" t="s">
        <v>38</v>
      </c>
      <c r="C31" t="s">
        <v>21</v>
      </c>
      <c r="D31">
        <v>60</v>
      </c>
      <c r="E31">
        <v>568702</v>
      </c>
      <c r="F31">
        <v>28438</v>
      </c>
      <c r="G31" s="7">
        <v>5.9225744011154272E-3</v>
      </c>
      <c r="H31" s="7">
        <v>3.7659521549882652E-3</v>
      </c>
      <c r="I31" s="7">
        <v>1.5726632090295061</v>
      </c>
      <c r="J31" s="7">
        <v>0.115796823101362</v>
      </c>
      <c r="K31" s="7">
        <v>-1.458556190162576E-3</v>
      </c>
      <c r="L31" s="7">
        <v>1.3303704992393431E-2</v>
      </c>
      <c r="M31" s="7" t="s">
        <v>39</v>
      </c>
      <c r="N31" s="7">
        <v>1</v>
      </c>
      <c r="O31" t="b">
        <v>0</v>
      </c>
      <c r="P31" t="b">
        <v>0</v>
      </c>
    </row>
    <row r="32" spans="1:16" x14ac:dyDescent="0.25">
      <c r="A32" t="s">
        <v>42</v>
      </c>
      <c r="B32" t="s">
        <v>40</v>
      </c>
      <c r="C32" t="s">
        <v>22</v>
      </c>
      <c r="D32">
        <v>1</v>
      </c>
      <c r="E32">
        <v>568779</v>
      </c>
      <c r="F32">
        <v>5688</v>
      </c>
      <c r="G32" s="7">
        <v>1.866640554014376E-3</v>
      </c>
      <c r="H32" s="7">
        <v>4.3238195539292061E-4</v>
      </c>
      <c r="I32" s="7">
        <v>4.3171102094630536</v>
      </c>
      <c r="J32" s="7">
        <v>1.5808523723109001E-5</v>
      </c>
      <c r="K32" s="7">
        <v>1.019187493879248E-3</v>
      </c>
      <c r="L32" s="7">
        <v>2.714093614149505E-3</v>
      </c>
      <c r="M32" s="7" t="s">
        <v>41</v>
      </c>
      <c r="N32" s="7">
        <v>6.3234094892435989E-4</v>
      </c>
      <c r="O32" t="b">
        <v>1</v>
      </c>
      <c r="P32" t="b">
        <v>1</v>
      </c>
    </row>
    <row r="33" spans="1:16" x14ac:dyDescent="0.25">
      <c r="A33" t="s">
        <v>42</v>
      </c>
      <c r="B33" t="s">
        <v>40</v>
      </c>
      <c r="C33" t="s">
        <v>23</v>
      </c>
      <c r="D33">
        <v>1</v>
      </c>
      <c r="E33">
        <v>568779</v>
      </c>
      <c r="F33">
        <v>5688</v>
      </c>
      <c r="G33" s="7">
        <v>-1.0132297187817681E-3</v>
      </c>
      <c r="H33" s="7">
        <v>4.0903256424971031E-4</v>
      </c>
      <c r="I33" s="7">
        <v>-2.4771370480986969</v>
      </c>
      <c r="J33" s="7">
        <v>1.324410361484183E-2</v>
      </c>
      <c r="K33" s="7">
        <v>-1.814918813215266E-3</v>
      </c>
      <c r="L33" s="7">
        <v>-2.1154062434826991E-4</v>
      </c>
      <c r="M33" s="7" t="s">
        <v>41</v>
      </c>
      <c r="N33" s="7">
        <v>0.4238113156749384</v>
      </c>
      <c r="O33" t="b">
        <v>1</v>
      </c>
      <c r="P33" t="b">
        <v>0</v>
      </c>
    </row>
    <row r="34" spans="1:16" x14ac:dyDescent="0.25">
      <c r="A34" t="s">
        <v>42</v>
      </c>
      <c r="B34" t="s">
        <v>40</v>
      </c>
      <c r="C34" t="s">
        <v>22</v>
      </c>
      <c r="D34">
        <v>5</v>
      </c>
      <c r="E34">
        <v>568771</v>
      </c>
      <c r="F34">
        <v>5688</v>
      </c>
      <c r="G34" s="7">
        <v>2.5269772238298779E-3</v>
      </c>
      <c r="H34" s="7">
        <v>9.9431333803740897E-4</v>
      </c>
      <c r="I34" s="7">
        <v>2.541429474151141</v>
      </c>
      <c r="J34" s="7">
        <v>1.104002164547282E-2</v>
      </c>
      <c r="K34" s="7">
        <v>5.7815889192875574E-4</v>
      </c>
      <c r="L34" s="7">
        <v>4.4757955557309988E-3</v>
      </c>
      <c r="M34" s="7" t="s">
        <v>41</v>
      </c>
      <c r="N34" s="7">
        <v>0.37473380144649948</v>
      </c>
      <c r="O34" t="b">
        <v>1</v>
      </c>
      <c r="P34" t="b">
        <v>0</v>
      </c>
    </row>
    <row r="35" spans="1:16" x14ac:dyDescent="0.25">
      <c r="A35" t="s">
        <v>42</v>
      </c>
      <c r="B35" t="s">
        <v>40</v>
      </c>
      <c r="C35" t="s">
        <v>23</v>
      </c>
      <c r="D35">
        <v>5</v>
      </c>
      <c r="E35">
        <v>568771</v>
      </c>
      <c r="F35">
        <v>5688</v>
      </c>
      <c r="G35" s="7">
        <v>8.0504277228020502E-4</v>
      </c>
      <c r="H35" s="7">
        <v>9.5421829348606309E-4</v>
      </c>
      <c r="I35" s="7">
        <v>0.84366730105239085</v>
      </c>
      <c r="J35" s="7">
        <v>0.39885534467633932</v>
      </c>
      <c r="K35" s="7">
        <v>-1.06519071634175E-3</v>
      </c>
      <c r="L35" s="7">
        <v>2.67527626090216E-3</v>
      </c>
      <c r="M35" s="7" t="s">
        <v>39</v>
      </c>
      <c r="N35" s="7">
        <v>1</v>
      </c>
      <c r="O35" t="b">
        <v>0</v>
      </c>
      <c r="P35" t="b">
        <v>0</v>
      </c>
    </row>
    <row r="36" spans="1:16" x14ac:dyDescent="0.25">
      <c r="A36" t="s">
        <v>42</v>
      </c>
      <c r="B36" t="s">
        <v>40</v>
      </c>
      <c r="C36" t="s">
        <v>22</v>
      </c>
      <c r="D36">
        <v>15</v>
      </c>
      <c r="E36">
        <v>568751</v>
      </c>
      <c r="F36">
        <v>5688</v>
      </c>
      <c r="G36" s="7">
        <v>3.6478482439665011E-3</v>
      </c>
      <c r="H36" s="7">
        <v>1.907499677170121E-3</v>
      </c>
      <c r="I36" s="7">
        <v>1.912371618001153</v>
      </c>
      <c r="J36" s="7">
        <v>5.5828545711434682E-2</v>
      </c>
      <c r="K36" s="7">
        <v>-9.0782423808716175E-5</v>
      </c>
      <c r="L36" s="7">
        <v>7.3864789117417187E-3</v>
      </c>
      <c r="M36" s="7" t="s">
        <v>41</v>
      </c>
      <c r="N36" s="7">
        <v>1</v>
      </c>
      <c r="O36" t="b">
        <v>0</v>
      </c>
      <c r="P36" t="b">
        <v>0</v>
      </c>
    </row>
    <row r="37" spans="1:16" x14ac:dyDescent="0.25">
      <c r="A37" t="s">
        <v>42</v>
      </c>
      <c r="B37" t="s">
        <v>40</v>
      </c>
      <c r="C37" t="s">
        <v>23</v>
      </c>
      <c r="D37">
        <v>15</v>
      </c>
      <c r="E37">
        <v>568751</v>
      </c>
      <c r="F37">
        <v>5688</v>
      </c>
      <c r="G37" s="7">
        <v>4.4626606040530058E-3</v>
      </c>
      <c r="H37" s="7">
        <v>1.833161506175117E-3</v>
      </c>
      <c r="I37" s="7">
        <v>2.4344066734001659</v>
      </c>
      <c r="J37" s="7">
        <v>1.491622585029222E-2</v>
      </c>
      <c r="K37" s="7">
        <v>8.6973007410457619E-4</v>
      </c>
      <c r="L37" s="7">
        <v>8.0555911340014358E-3</v>
      </c>
      <c r="M37" s="7" t="s">
        <v>39</v>
      </c>
      <c r="N37" s="7">
        <v>0.44748677550876648</v>
      </c>
      <c r="O37" t="b">
        <v>1</v>
      </c>
      <c r="P37" t="b">
        <v>0</v>
      </c>
    </row>
    <row r="38" spans="1:16" x14ac:dyDescent="0.25">
      <c r="A38" t="s">
        <v>42</v>
      </c>
      <c r="B38" t="s">
        <v>40</v>
      </c>
      <c r="C38" t="s">
        <v>22</v>
      </c>
      <c r="D38">
        <v>30</v>
      </c>
      <c r="E38">
        <v>568732</v>
      </c>
      <c r="F38">
        <v>5686</v>
      </c>
      <c r="G38" s="7">
        <v>5.5104635146175033E-3</v>
      </c>
      <c r="H38" s="7">
        <v>3.1319807009786579E-3</v>
      </c>
      <c r="I38" s="7">
        <v>1.759418093762722</v>
      </c>
      <c r="J38" s="7">
        <v>7.8506520896987203E-2</v>
      </c>
      <c r="K38" s="7">
        <v>-6.2810585957517873E-4</v>
      </c>
      <c r="L38" s="7">
        <v>1.1649032888810191E-2</v>
      </c>
      <c r="M38" s="7" t="s">
        <v>41</v>
      </c>
      <c r="N38" s="7">
        <v>1</v>
      </c>
      <c r="O38" t="b">
        <v>0</v>
      </c>
      <c r="P38" t="b">
        <v>0</v>
      </c>
    </row>
    <row r="39" spans="1:16" x14ac:dyDescent="0.25">
      <c r="A39" t="s">
        <v>42</v>
      </c>
      <c r="B39" t="s">
        <v>40</v>
      </c>
      <c r="C39" t="s">
        <v>23</v>
      </c>
      <c r="D39">
        <v>30</v>
      </c>
      <c r="E39">
        <v>568732</v>
      </c>
      <c r="F39">
        <v>5688</v>
      </c>
      <c r="G39" s="7">
        <v>9.7532632902929892E-3</v>
      </c>
      <c r="H39" s="7">
        <v>2.9024395699139369E-3</v>
      </c>
      <c r="I39" s="7">
        <v>3.3603673927937079</v>
      </c>
      <c r="J39" s="7">
        <v>7.7838887445859763E-4</v>
      </c>
      <c r="K39" s="7">
        <v>4.0645862659577474E-3</v>
      </c>
      <c r="L39" s="7">
        <v>1.5441940314628229E-2</v>
      </c>
      <c r="M39" s="7" t="s">
        <v>39</v>
      </c>
      <c r="N39" s="7">
        <v>2.9578777229426711E-2</v>
      </c>
      <c r="O39" t="b">
        <v>1</v>
      </c>
      <c r="P39" t="b">
        <v>1</v>
      </c>
    </row>
    <row r="40" spans="1:16" x14ac:dyDescent="0.25">
      <c r="A40" t="s">
        <v>42</v>
      </c>
      <c r="B40" t="s">
        <v>40</v>
      </c>
      <c r="C40" t="s">
        <v>22</v>
      </c>
      <c r="D40">
        <v>60</v>
      </c>
      <c r="E40">
        <v>568702</v>
      </c>
      <c r="F40">
        <v>5688</v>
      </c>
      <c r="G40" s="7">
        <v>1.339387482668988E-2</v>
      </c>
      <c r="H40" s="7">
        <v>5.269001632567636E-3</v>
      </c>
      <c r="I40" s="7">
        <v>2.5420137932587652</v>
      </c>
      <c r="J40" s="7">
        <v>1.102158239548528E-2</v>
      </c>
      <c r="K40" s="7">
        <v>3.0668213923745681E-3</v>
      </c>
      <c r="L40" s="7">
        <v>2.3720928261005199E-2</v>
      </c>
      <c r="M40" s="7" t="s">
        <v>41</v>
      </c>
      <c r="N40" s="7">
        <v>0.37473380144649948</v>
      </c>
      <c r="O40" t="b">
        <v>1</v>
      </c>
      <c r="P40" t="b">
        <v>0</v>
      </c>
    </row>
    <row r="41" spans="1:16" x14ac:dyDescent="0.25">
      <c r="A41" t="s">
        <v>42</v>
      </c>
      <c r="B41" t="s">
        <v>40</v>
      </c>
      <c r="C41" t="s">
        <v>23</v>
      </c>
      <c r="D41">
        <v>60</v>
      </c>
      <c r="E41">
        <v>568702</v>
      </c>
      <c r="F41">
        <v>5688</v>
      </c>
      <c r="G41" s="7">
        <v>1.4184369820823051E-2</v>
      </c>
      <c r="H41" s="7">
        <v>4.9338998113329082E-3</v>
      </c>
      <c r="I41" s="7">
        <v>2.874879986059363</v>
      </c>
      <c r="J41" s="7">
        <v>4.0418109721248284E-3</v>
      </c>
      <c r="K41" s="7">
        <v>4.51410388728158E-3</v>
      </c>
      <c r="L41" s="7">
        <v>2.3854635754364511E-2</v>
      </c>
      <c r="M41" s="7" t="s">
        <v>39</v>
      </c>
      <c r="N41" s="7">
        <v>0.141463384024369</v>
      </c>
      <c r="O41" t="b">
        <v>1</v>
      </c>
      <c r="P41" t="b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38"/>
  <sheetViews>
    <sheetView topLeftCell="A9" workbookViewId="0">
      <selection activeCell="A3" sqref="A3:E11"/>
    </sheetView>
  </sheetViews>
  <sheetFormatPr defaultRowHeight="15" x14ac:dyDescent="0.25"/>
  <cols>
    <col min="1" max="1" width="28.140625" bestFit="1" customWidth="1"/>
    <col min="2" max="2" width="15.42578125" bestFit="1" customWidth="1"/>
    <col min="3" max="3" width="15.28515625" bestFit="1" customWidth="1"/>
    <col min="4" max="4" width="19.85546875" bestFit="1" customWidth="1"/>
    <col min="5" max="5" width="19.7109375" bestFit="1" customWidth="1"/>
    <col min="6" max="6" width="30.7109375" bestFit="1" customWidth="1"/>
    <col min="7" max="7" width="28.28515625" bestFit="1" customWidth="1"/>
    <col min="8" max="8" width="30.5703125" bestFit="1" customWidth="1"/>
    <col min="9" max="9" width="28.28515625" bestFit="1" customWidth="1"/>
    <col min="10" max="10" width="12.7109375" bestFit="1" customWidth="1"/>
  </cols>
  <sheetData>
    <row r="3" spans="1:5" ht="15.75" customHeight="1" thickBot="1" x14ac:dyDescent="0.3">
      <c r="A3" s="1" t="s">
        <v>6</v>
      </c>
      <c r="B3" s="1"/>
      <c r="C3" s="2"/>
      <c r="D3" s="2"/>
      <c r="E3" s="2"/>
    </row>
    <row r="4" spans="1:5" ht="15.75" customHeight="1" thickBot="1" x14ac:dyDescent="0.3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5.75" customHeight="1" thickBot="1" x14ac:dyDescent="0.3">
      <c r="A5" s="3">
        <v>1</v>
      </c>
      <c r="B5" s="4">
        <v>0.1044507565031591</v>
      </c>
      <c r="C5" s="4">
        <v>0.1043635919944685</v>
      </c>
      <c r="D5" s="4">
        <v>0.14028982668372711</v>
      </c>
      <c r="E5" s="4">
        <v>0.1527067866996869</v>
      </c>
    </row>
    <row r="6" spans="1:5" ht="15.75" customHeight="1" thickBot="1" x14ac:dyDescent="0.3">
      <c r="A6" s="3">
        <v>5</v>
      </c>
      <c r="B6" s="4">
        <v>0.20781740361506901</v>
      </c>
      <c r="C6" s="4">
        <v>0.2276091748373692</v>
      </c>
      <c r="D6" s="4">
        <v>0.24981523915221879</v>
      </c>
      <c r="E6" s="4">
        <v>0.33263429685487178</v>
      </c>
    </row>
    <row r="7" spans="1:5" ht="15.75" customHeight="1" thickBot="1" x14ac:dyDescent="0.3">
      <c r="A7" s="3">
        <v>15</v>
      </c>
      <c r="B7" s="4">
        <v>0.34648736080976561</v>
      </c>
      <c r="C7" s="4">
        <v>0.35968413467553201</v>
      </c>
      <c r="D7" s="4">
        <v>0.42802882950282439</v>
      </c>
      <c r="E7" s="4">
        <v>0.48273376527100731</v>
      </c>
    </row>
    <row r="8" spans="1:5" ht="15.75" customHeight="1" thickBot="1" x14ac:dyDescent="0.3">
      <c r="A8" s="3">
        <v>30</v>
      </c>
      <c r="B8" s="4">
        <v>0.4595133682060496</v>
      </c>
      <c r="C8" s="4">
        <v>0.49736766595926007</v>
      </c>
      <c r="D8" s="4">
        <v>0.54359248887718925</v>
      </c>
      <c r="E8" s="4">
        <v>0.64898699555287742</v>
      </c>
    </row>
    <row r="9" spans="1:5" ht="15.75" customHeight="1" thickBot="1" x14ac:dyDescent="0.3">
      <c r="A9" s="3">
        <v>60</v>
      </c>
      <c r="B9" s="4">
        <v>0.62792493743959943</v>
      </c>
      <c r="C9" s="4">
        <v>0.64318697510638856</v>
      </c>
      <c r="D9" s="4">
        <v>0.72815511978177805</v>
      </c>
      <c r="E9" s="4">
        <v>0.770470317493958</v>
      </c>
    </row>
    <row r="10" spans="1:5" ht="15.75" customHeight="1" thickBot="1" x14ac:dyDescent="0.3">
      <c r="A10" s="3">
        <v>240</v>
      </c>
      <c r="B10" s="4">
        <v>1.108144474740999</v>
      </c>
      <c r="C10" s="4">
        <v>1.135746728342931</v>
      </c>
      <c r="D10" s="4">
        <v>1.2031594042708791</v>
      </c>
      <c r="E10" s="4">
        <v>1.2717481732778091</v>
      </c>
    </row>
    <row r="11" spans="1:5" ht="15.75" customHeight="1" thickBot="1" x14ac:dyDescent="0.3">
      <c r="A11" s="3">
        <v>1440</v>
      </c>
      <c r="B11" s="4">
        <v>2.4324268723119529</v>
      </c>
      <c r="C11" s="4">
        <v>2.4082668517537851</v>
      </c>
      <c r="D11" s="4">
        <v>2.4945181990198169</v>
      </c>
      <c r="E11" s="4">
        <v>2.627167052155428</v>
      </c>
    </row>
    <row r="13" spans="1:5" ht="15.75" customHeight="1" thickBot="1" x14ac:dyDescent="0.3"/>
    <row r="14" spans="1:5" ht="15.75" customHeight="1" thickBot="1" x14ac:dyDescent="0.3"/>
    <row r="15" spans="1:5" ht="15.75" customHeight="1" thickBot="1" x14ac:dyDescent="0.3"/>
    <row r="16" spans="1:5" ht="15.75" customHeight="1" thickBot="1" x14ac:dyDescent="0.3"/>
    <row r="17" ht="15.75" customHeight="1" thickBot="1" x14ac:dyDescent="0.3"/>
    <row r="18" ht="15.75" customHeight="1" thickBot="1" x14ac:dyDescent="0.3"/>
    <row r="19" ht="15.75" customHeight="1" thickBot="1" x14ac:dyDescent="0.3"/>
    <row r="20" ht="15.75" customHeight="1" thickBot="1" x14ac:dyDescent="0.3"/>
    <row r="21" ht="15.75" customHeight="1" thickBot="1" x14ac:dyDescent="0.3"/>
    <row r="22" ht="15.75" customHeight="1" thickBot="1" x14ac:dyDescent="0.3"/>
    <row r="23" ht="15.75" customHeight="1" thickBot="1" x14ac:dyDescent="0.3"/>
    <row r="24" ht="15.75" customHeight="1" thickBot="1" x14ac:dyDescent="0.3"/>
    <row r="25" ht="15.75" customHeight="1" thickBot="1" x14ac:dyDescent="0.3"/>
    <row r="26" ht="15.75" customHeight="1" thickBot="1" x14ac:dyDescent="0.3"/>
    <row r="27" ht="15.75" customHeight="1" thickBot="1" x14ac:dyDescent="0.3"/>
    <row r="28" ht="15.75" customHeight="1" thickBot="1" x14ac:dyDescent="0.3"/>
    <row r="29" ht="15.75" customHeight="1" thickBot="1" x14ac:dyDescent="0.3"/>
    <row r="30" ht="15.75" customHeight="1" thickBot="1" x14ac:dyDescent="0.3"/>
    <row r="31" ht="15.75" customHeight="1" thickBot="1" x14ac:dyDescent="0.3"/>
    <row r="32" ht="15.75" customHeight="1" thickBot="1" x14ac:dyDescent="0.3"/>
    <row r="33" ht="15.75" customHeight="1" thickBot="1" x14ac:dyDescent="0.3"/>
    <row r="34" ht="15.75" customHeight="1" thickBot="1" x14ac:dyDescent="0.3"/>
    <row r="35" ht="15.75" customHeight="1" thickBot="1" x14ac:dyDescent="0.3"/>
    <row r="36" ht="15.75" customHeight="1" thickBot="1" x14ac:dyDescent="0.3"/>
    <row r="37" ht="15.75" customHeight="1" thickBot="1" x14ac:dyDescent="0.3"/>
    <row r="38" ht="15.75" customHeight="1" thickBot="1" x14ac:dyDescent="0.3"/>
  </sheetData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9602-27ED-4C90-8812-1F09470A9909}">
  <dimension ref="A3:E64"/>
  <sheetViews>
    <sheetView tabSelected="1" topLeftCell="A19" workbookViewId="0">
      <selection activeCell="F54" sqref="F54"/>
    </sheetView>
  </sheetViews>
  <sheetFormatPr defaultRowHeight="15" x14ac:dyDescent="0.25"/>
  <cols>
    <col min="1" max="1" width="28.140625" bestFit="1" customWidth="1"/>
    <col min="2" max="2" width="16.28515625" bestFit="1" customWidth="1"/>
    <col min="3" max="3" width="15.28515625" bestFit="1" customWidth="1"/>
    <col min="4" max="4" width="19.85546875" bestFit="1" customWidth="1"/>
    <col min="5" max="5" width="19.7109375" bestFit="1" customWidth="1"/>
    <col min="6" max="6" width="19.85546875" bestFit="1" customWidth="1"/>
    <col min="7" max="7" width="30.7109375" bestFit="1" customWidth="1"/>
    <col min="8" max="8" width="30.5703125" bestFit="1" customWidth="1"/>
    <col min="9" max="9" width="19.7109375" bestFit="1" customWidth="1"/>
    <col min="10" max="10" width="12" bestFit="1" customWidth="1"/>
    <col min="11" max="16" width="30.7109375" bestFit="1" customWidth="1"/>
    <col min="17" max="17" width="27.7109375" bestFit="1" customWidth="1"/>
    <col min="18" max="18" width="34.85546875" bestFit="1" customWidth="1"/>
    <col min="19" max="19" width="15.28515625" bestFit="1" customWidth="1"/>
    <col min="20" max="20" width="19.85546875" bestFit="1" customWidth="1"/>
    <col min="21" max="21" width="19.7109375" bestFit="1" customWidth="1"/>
    <col min="22" max="22" width="15.42578125" bestFit="1" customWidth="1"/>
    <col min="23" max="23" width="15.28515625" bestFit="1" customWidth="1"/>
    <col min="24" max="24" width="19.85546875" bestFit="1" customWidth="1"/>
    <col min="25" max="25" width="19.7109375" bestFit="1" customWidth="1"/>
    <col min="26" max="26" width="15.42578125" bestFit="1" customWidth="1"/>
    <col min="27" max="27" width="15.28515625" bestFit="1" customWidth="1"/>
    <col min="28" max="28" width="19.85546875" bestFit="1" customWidth="1"/>
    <col min="29" max="29" width="19.7109375" bestFit="1" customWidth="1"/>
    <col min="30" max="30" width="13.140625" bestFit="1" customWidth="1"/>
  </cols>
  <sheetData>
    <row r="3" spans="1:5" x14ac:dyDescent="0.25">
      <c r="A3" s="5" t="s">
        <v>52</v>
      </c>
      <c r="B3" s="5" t="s">
        <v>43</v>
      </c>
    </row>
    <row r="4" spans="1:5" x14ac:dyDescent="0.25">
      <c r="A4" s="5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 s="6">
        <v>1</v>
      </c>
      <c r="B5" s="21">
        <v>-1.650239108595148E-3</v>
      </c>
      <c r="C5" s="21">
        <v>1.9810167265755922E-3</v>
      </c>
      <c r="D5" s="21">
        <v>-2.7717884572255359E-3</v>
      </c>
      <c r="E5" s="21">
        <v>4.6494571881581974E-3</v>
      </c>
    </row>
    <row r="6" spans="1:5" x14ac:dyDescent="0.25">
      <c r="A6" s="6">
        <v>5</v>
      </c>
      <c r="B6" s="21">
        <v>-4.762012170328336E-3</v>
      </c>
      <c r="C6" s="21">
        <v>3.8337734610364499E-3</v>
      </c>
      <c r="D6" s="21">
        <v>-6.7341490506833621E-3</v>
      </c>
      <c r="E6" s="21">
        <v>9.2965531613180673E-3</v>
      </c>
    </row>
    <row r="7" spans="1:5" x14ac:dyDescent="0.25">
      <c r="A7" s="6">
        <v>15</v>
      </c>
      <c r="B7" s="21">
        <v>-5.4941101646227902E-3</v>
      </c>
      <c r="C7" s="21">
        <v>5.9742369046577072E-3</v>
      </c>
      <c r="D7" s="21">
        <v>-1.078728743992354E-2</v>
      </c>
      <c r="E7" s="21">
        <v>1.7009794254949629E-2</v>
      </c>
    </row>
    <row r="8" spans="1:5" x14ac:dyDescent="0.25">
      <c r="A8" s="6">
        <v>30</v>
      </c>
      <c r="B8" s="21">
        <v>-6.8585614397942444E-3</v>
      </c>
      <c r="C8" s="21">
        <v>8.8245718183424023E-3</v>
      </c>
      <c r="D8" s="21">
        <v>-5.2478670063215906E-3</v>
      </c>
      <c r="E8" s="21">
        <v>2.297922168047439E-2</v>
      </c>
    </row>
    <row r="9" spans="1:5" x14ac:dyDescent="0.25">
      <c r="A9" s="6">
        <v>60</v>
      </c>
      <c r="B9" s="21">
        <v>-7.5663974987770369E-3</v>
      </c>
      <c r="C9" s="21">
        <v>1.124226463912472E-2</v>
      </c>
      <c r="D9" s="21">
        <v>5.250424040773507E-3</v>
      </c>
      <c r="E9" s="21">
        <v>3.6866531734078938E-2</v>
      </c>
    </row>
    <row r="10" spans="1:5" x14ac:dyDescent="0.25">
      <c r="A10" s="6">
        <v>240</v>
      </c>
      <c r="B10" s="21">
        <v>-2.2294922792978521E-2</v>
      </c>
      <c r="C10" s="21">
        <v>-8.5912158161840571E-3</v>
      </c>
      <c r="D10" s="21">
        <v>-3.8871858827793241E-3</v>
      </c>
      <c r="E10" s="21">
        <v>5.6711859605116939E-4</v>
      </c>
    </row>
    <row r="11" spans="1:5" x14ac:dyDescent="0.25">
      <c r="A11" s="6">
        <v>1440</v>
      </c>
      <c r="B11" s="21">
        <v>-0.1183637918425004</v>
      </c>
      <c r="C11" s="21">
        <v>-0.1170636742188346</v>
      </c>
      <c r="D11" s="21">
        <v>-9.3085072140675906E-2</v>
      </c>
      <c r="E11" s="21">
        <v>-7.6844764327183623E-2</v>
      </c>
    </row>
    <row r="19" spans="1:5" x14ac:dyDescent="0.25">
      <c r="A19" s="5" t="s">
        <v>53</v>
      </c>
      <c r="B19" s="5" t="s">
        <v>43</v>
      </c>
    </row>
    <row r="20" spans="1:5" x14ac:dyDescent="0.25">
      <c r="A20" s="5" t="s">
        <v>7</v>
      </c>
      <c r="B20" t="s">
        <v>8</v>
      </c>
      <c r="C20" t="s">
        <v>9</v>
      </c>
      <c r="D20" t="s">
        <v>10</v>
      </c>
      <c r="E20" t="s">
        <v>11</v>
      </c>
    </row>
    <row r="21" spans="1:5" x14ac:dyDescent="0.25">
      <c r="A21" s="6">
        <v>1</v>
      </c>
      <c r="B21" s="21">
        <v>-4.1208710794271566E-3</v>
      </c>
      <c r="C21" s="21">
        <v>3.1380846924333738E-3</v>
      </c>
      <c r="D21" s="21">
        <v>-6.4476182819073191E-3</v>
      </c>
      <c r="E21" s="21">
        <v>6.2114443735383773E-3</v>
      </c>
    </row>
    <row r="22" spans="1:5" x14ac:dyDescent="0.25">
      <c r="A22" s="6">
        <v>5</v>
      </c>
      <c r="B22" s="21">
        <v>-9.1014589323701323E-3</v>
      </c>
      <c r="C22" s="21">
        <v>7.5528597424767696E-3</v>
      </c>
      <c r="D22" s="21">
        <v>-1.4508166018128991E-2</v>
      </c>
      <c r="E22" s="21">
        <v>1.7487708509045241E-2</v>
      </c>
    </row>
    <row r="23" spans="1:5" x14ac:dyDescent="0.25">
      <c r="A23" s="6">
        <v>15</v>
      </c>
      <c r="B23" s="21">
        <v>-1.141393991412332E-2</v>
      </c>
      <c r="C23" s="21">
        <v>1.255261132555585E-2</v>
      </c>
      <c r="D23" s="21">
        <v>-2.381517132742372E-2</v>
      </c>
      <c r="E23" s="21">
        <v>3.2771636314277153E-2</v>
      </c>
    </row>
    <row r="24" spans="1:5" x14ac:dyDescent="0.25">
      <c r="A24" s="6">
        <v>30</v>
      </c>
      <c r="B24" s="21">
        <v>-1.2086996897175959E-2</v>
      </c>
      <c r="C24" s="21">
        <v>1.6130989245577428E-2</v>
      </c>
      <c r="D24" s="21">
        <v>-2.4565509133273041E-2</v>
      </c>
      <c r="E24" s="21">
        <v>3.7369589976876671E-2</v>
      </c>
    </row>
    <row r="25" spans="1:5" x14ac:dyDescent="0.25">
      <c r="A25" s="6">
        <v>60</v>
      </c>
      <c r="B25" s="21">
        <v>-1.37106452747171E-2</v>
      </c>
      <c r="C25" s="21">
        <v>2.1116348716709869E-2</v>
      </c>
      <c r="D25" s="21">
        <v>-2.4764576364560979E-2</v>
      </c>
      <c r="E25" s="21">
        <v>3.8872300033332419E-2</v>
      </c>
    </row>
    <row r="26" spans="1:5" x14ac:dyDescent="0.25">
      <c r="A26" s="6">
        <v>240</v>
      </c>
      <c r="B26" s="21">
        <v>-1.7687310460212661E-2</v>
      </c>
      <c r="C26" s="21">
        <v>2.5066098959580781E-2</v>
      </c>
      <c r="D26" s="21">
        <v>-3.2501532460316167E-2</v>
      </c>
      <c r="E26" s="21">
        <v>5.2683349332138807E-2</v>
      </c>
    </row>
    <row r="27" spans="1:5" x14ac:dyDescent="0.25">
      <c r="A27" s="6">
        <v>1440</v>
      </c>
      <c r="B27" s="21">
        <v>-4.5606225145494728E-2</v>
      </c>
      <c r="C27" s="21">
        <v>-4.2377762198164692E-2</v>
      </c>
      <c r="D27" s="21">
        <v>-7.6028900225399987E-2</v>
      </c>
      <c r="E27" s="21">
        <v>-1.5957647540854051E-2</v>
      </c>
    </row>
    <row r="40" spans="1:5" x14ac:dyDescent="0.25">
      <c r="A40" s="5" t="s">
        <v>54</v>
      </c>
      <c r="B40" s="5" t="s">
        <v>43</v>
      </c>
    </row>
    <row r="41" spans="1:5" x14ac:dyDescent="0.25">
      <c r="A41" s="5" t="s">
        <v>7</v>
      </c>
      <c r="B41" t="s">
        <v>8</v>
      </c>
      <c r="C41" t="s">
        <v>9</v>
      </c>
      <c r="D41" t="s">
        <v>10</v>
      </c>
      <c r="E41" t="s">
        <v>11</v>
      </c>
    </row>
    <row r="42" spans="1:5" x14ac:dyDescent="0.25">
      <c r="A42" s="6">
        <v>1</v>
      </c>
      <c r="B42" s="22">
        <v>46.958509142053437</v>
      </c>
      <c r="C42" s="22">
        <v>52.108020675832478</v>
      </c>
      <c r="D42" s="22">
        <v>46.536568213783397</v>
      </c>
      <c r="E42" s="22">
        <v>52.628802532090738</v>
      </c>
    </row>
    <row r="43" spans="1:5" x14ac:dyDescent="0.25">
      <c r="A43" s="6">
        <v>5</v>
      </c>
      <c r="B43" s="22">
        <v>46.782700421940923</v>
      </c>
      <c r="C43" s="22">
        <v>52.426330965609388</v>
      </c>
      <c r="D43" s="22">
        <v>46.114627285513357</v>
      </c>
      <c r="E43" s="22">
        <v>54.105855459820638</v>
      </c>
    </row>
    <row r="44" spans="1:5" x14ac:dyDescent="0.25">
      <c r="A44" s="6">
        <v>15</v>
      </c>
      <c r="B44" s="22">
        <v>47.679324894514771</v>
      </c>
      <c r="C44" s="22">
        <v>52.447429495745133</v>
      </c>
      <c r="D44" s="22">
        <v>46.114627285513357</v>
      </c>
      <c r="E44" s="22">
        <v>55.072973448215222</v>
      </c>
    </row>
    <row r="45" spans="1:5" x14ac:dyDescent="0.25">
      <c r="A45" s="6">
        <v>30</v>
      </c>
      <c r="B45" s="22">
        <v>48.282288406765353</v>
      </c>
      <c r="C45" s="22">
        <v>52.310126582278492</v>
      </c>
      <c r="D45" s="22">
        <v>47.345288326300981</v>
      </c>
      <c r="E45" s="22">
        <v>53.990857946554151</v>
      </c>
    </row>
    <row r="46" spans="1:5" x14ac:dyDescent="0.25">
      <c r="A46" s="6">
        <v>60</v>
      </c>
      <c r="B46" s="22">
        <v>48.568917018284111</v>
      </c>
      <c r="C46" s="22">
        <v>52.145017230466273</v>
      </c>
      <c r="D46" s="22">
        <v>47.80239099859353</v>
      </c>
      <c r="E46" s="22">
        <v>53.375527426160339</v>
      </c>
    </row>
    <row r="47" spans="1:5" x14ac:dyDescent="0.25">
      <c r="A47" s="6">
        <v>240</v>
      </c>
      <c r="B47" s="22">
        <v>48.929211942187997</v>
      </c>
      <c r="C47" s="22">
        <v>51.292512221714198</v>
      </c>
      <c r="D47" s="22">
        <v>48.329817158931093</v>
      </c>
      <c r="E47" s="22">
        <v>52.531645569620252</v>
      </c>
    </row>
    <row r="48" spans="1:5" x14ac:dyDescent="0.25">
      <c r="A48" s="6">
        <v>1440</v>
      </c>
      <c r="B48" s="22">
        <v>48.956350045835983</v>
      </c>
      <c r="C48" s="22">
        <v>49.07012033736811</v>
      </c>
      <c r="D48" s="22">
        <v>48.257042253521128</v>
      </c>
      <c r="E48" s="22">
        <v>49.69075808446722</v>
      </c>
    </row>
    <row r="56" spans="1:5" x14ac:dyDescent="0.25">
      <c r="A56" s="5" t="s">
        <v>6</v>
      </c>
      <c r="B56" s="5" t="s">
        <v>43</v>
      </c>
    </row>
    <row r="57" spans="1:5" x14ac:dyDescent="0.25">
      <c r="A57" s="5" t="s">
        <v>7</v>
      </c>
      <c r="B57" t="s">
        <v>8</v>
      </c>
      <c r="C57" t="s">
        <v>9</v>
      </c>
      <c r="D57" t="s">
        <v>10</v>
      </c>
      <c r="E57" t="s">
        <v>11</v>
      </c>
    </row>
    <row r="58" spans="1:5" x14ac:dyDescent="0.25">
      <c r="A58" s="6">
        <v>1</v>
      </c>
      <c r="B58" s="7">
        <v>0.1044507565031591</v>
      </c>
      <c r="C58" s="7">
        <v>0.1043635919944685</v>
      </c>
      <c r="D58" s="7">
        <v>0.14028982668372711</v>
      </c>
      <c r="E58" s="7">
        <v>0.1527067866996869</v>
      </c>
    </row>
    <row r="59" spans="1:5" x14ac:dyDescent="0.25">
      <c r="A59" s="6">
        <v>5</v>
      </c>
      <c r="B59" s="7">
        <v>0.20781740361506901</v>
      </c>
      <c r="C59" s="7">
        <v>0.2276091748373692</v>
      </c>
      <c r="D59" s="7">
        <v>0.24981523915221879</v>
      </c>
      <c r="E59" s="7">
        <v>0.33263429685487178</v>
      </c>
    </row>
    <row r="60" spans="1:5" x14ac:dyDescent="0.25">
      <c r="A60" s="6">
        <v>15</v>
      </c>
      <c r="B60" s="7">
        <v>0.34648736080976561</v>
      </c>
      <c r="C60" s="7">
        <v>0.35968413467553201</v>
      </c>
      <c r="D60" s="7">
        <v>0.42802882950282439</v>
      </c>
      <c r="E60" s="7">
        <v>0.48273376527100731</v>
      </c>
    </row>
    <row r="61" spans="1:5" x14ac:dyDescent="0.25">
      <c r="A61" s="6">
        <v>30</v>
      </c>
      <c r="B61" s="7">
        <v>0.4595133682060496</v>
      </c>
      <c r="C61" s="7">
        <v>0.49736766595926007</v>
      </c>
      <c r="D61" s="7">
        <v>0.54359248887718925</v>
      </c>
      <c r="E61" s="7">
        <v>0.64898699555287742</v>
      </c>
    </row>
    <row r="62" spans="1:5" x14ac:dyDescent="0.25">
      <c r="A62" s="6">
        <v>60</v>
      </c>
      <c r="B62" s="7">
        <v>0.62792493743959943</v>
      </c>
      <c r="C62" s="7">
        <v>0.64318697510638856</v>
      </c>
      <c r="D62" s="7">
        <v>0.72815511978177805</v>
      </c>
      <c r="E62" s="7">
        <v>0.770470317493958</v>
      </c>
    </row>
    <row r="63" spans="1:5" x14ac:dyDescent="0.25">
      <c r="A63" s="6">
        <v>240</v>
      </c>
      <c r="B63" s="7">
        <v>1.108144474740999</v>
      </c>
      <c r="C63" s="7">
        <v>1.135746728342931</v>
      </c>
      <c r="D63" s="7">
        <v>1.2031594042708791</v>
      </c>
      <c r="E63" s="7">
        <v>1.2717481732778091</v>
      </c>
    </row>
    <row r="64" spans="1:5" x14ac:dyDescent="0.25">
      <c r="A64" s="6">
        <v>1440</v>
      </c>
      <c r="B64" s="7">
        <v>2.4324268723119529</v>
      </c>
      <c r="C64" s="7">
        <v>2.4082668517537851</v>
      </c>
      <c r="D64" s="7">
        <v>2.4945181990198169</v>
      </c>
      <c r="E64" s="7">
        <v>2.627167052155428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activeCell="J44" sqref="J44"/>
    </sheetView>
  </sheetViews>
  <sheetFormatPr defaultRowHeight="15" x14ac:dyDescent="0.25"/>
  <cols>
    <col min="1" max="1" width="29.85546875" customWidth="1"/>
    <col min="2" max="2" width="11.28515625" customWidth="1"/>
    <col min="4" max="4" width="16.42578125" style="21" customWidth="1"/>
    <col min="5" max="5" width="18.42578125" style="21" customWidth="1"/>
    <col min="6" max="6" width="13.7109375" style="23" customWidth="1"/>
    <col min="7" max="7" width="20.7109375" hidden="1" customWidth="1"/>
    <col min="8" max="8" width="10.85546875" customWidth="1"/>
  </cols>
  <sheetData>
    <row r="1" spans="1:8" x14ac:dyDescent="0.25">
      <c r="A1" t="s">
        <v>12</v>
      </c>
      <c r="B1" t="s">
        <v>13</v>
      </c>
      <c r="C1" t="s">
        <v>14</v>
      </c>
      <c r="D1" s="21" t="s">
        <v>15</v>
      </c>
      <c r="E1" s="21" t="s">
        <v>16</v>
      </c>
      <c r="F1" s="23" t="s">
        <v>17</v>
      </c>
      <c r="G1" t="s">
        <v>18</v>
      </c>
      <c r="H1" t="s">
        <v>19</v>
      </c>
    </row>
    <row r="2" spans="1:8" x14ac:dyDescent="0.25">
      <c r="A2" t="s">
        <v>8</v>
      </c>
      <c r="B2">
        <v>1</v>
      </c>
      <c r="C2">
        <v>28440</v>
      </c>
      <c r="D2" s="21">
        <v>-1.650239108595148E-3</v>
      </c>
      <c r="E2" s="21">
        <v>-4.1208710794271566E-3</v>
      </c>
      <c r="F2" s="23">
        <v>0.1044507565031591</v>
      </c>
      <c r="G2">
        <v>13355</v>
      </c>
      <c r="H2" s="22">
        <v>46.958509142053437</v>
      </c>
    </row>
    <row r="3" spans="1:8" x14ac:dyDescent="0.25">
      <c r="A3" t="s">
        <v>8</v>
      </c>
      <c r="B3">
        <v>5</v>
      </c>
      <c r="C3">
        <v>28440</v>
      </c>
      <c r="D3" s="21">
        <v>-4.762012170328336E-3</v>
      </c>
      <c r="E3" s="21">
        <v>-9.1014589323701323E-3</v>
      </c>
      <c r="F3" s="23">
        <v>0.20781740361506901</v>
      </c>
      <c r="G3">
        <v>13305</v>
      </c>
      <c r="H3" s="22">
        <v>46.782700421940923</v>
      </c>
    </row>
    <row r="4" spans="1:8" x14ac:dyDescent="0.25">
      <c r="A4" t="s">
        <v>8</v>
      </c>
      <c r="B4">
        <v>15</v>
      </c>
      <c r="C4">
        <v>28440</v>
      </c>
      <c r="D4" s="21">
        <v>-5.4941101646227902E-3</v>
      </c>
      <c r="E4" s="21">
        <v>-1.141393991412332E-2</v>
      </c>
      <c r="F4" s="23">
        <v>0.34648736080976561</v>
      </c>
      <c r="G4">
        <v>13560</v>
      </c>
      <c r="H4" s="22">
        <v>47.679324894514771</v>
      </c>
    </row>
    <row r="5" spans="1:8" x14ac:dyDescent="0.25">
      <c r="A5" t="s">
        <v>8</v>
      </c>
      <c r="B5">
        <v>30</v>
      </c>
      <c r="C5">
        <v>28439</v>
      </c>
      <c r="D5" s="21">
        <v>-6.8585614397942444E-3</v>
      </c>
      <c r="E5" s="21">
        <v>-1.2086996897175959E-2</v>
      </c>
      <c r="F5" s="23">
        <v>0.4595133682060496</v>
      </c>
      <c r="G5">
        <v>13731</v>
      </c>
      <c r="H5" s="22">
        <v>48.282288406765353</v>
      </c>
    </row>
    <row r="6" spans="1:8" x14ac:dyDescent="0.25">
      <c r="A6" t="s">
        <v>8</v>
      </c>
      <c r="B6">
        <v>60</v>
      </c>
      <c r="C6">
        <v>28440</v>
      </c>
      <c r="D6" s="21">
        <v>-7.5663974987770369E-3</v>
      </c>
      <c r="E6" s="21">
        <v>-1.37106452747171E-2</v>
      </c>
      <c r="F6" s="23">
        <v>0.62792493743959943</v>
      </c>
      <c r="G6">
        <v>13813</v>
      </c>
      <c r="H6" s="22">
        <v>48.568917018284111</v>
      </c>
    </row>
    <row r="7" spans="1:8" hidden="1" x14ac:dyDescent="0.25">
      <c r="A7" t="s">
        <v>8</v>
      </c>
      <c r="B7">
        <v>240</v>
      </c>
      <c r="C7">
        <v>28437</v>
      </c>
      <c r="D7">
        <v>-2.2294922792978521E-2</v>
      </c>
      <c r="E7">
        <v>-1.7687310460212661E-2</v>
      </c>
      <c r="F7">
        <v>1.108144474740999</v>
      </c>
      <c r="G7">
        <v>13914</v>
      </c>
      <c r="H7">
        <v>48.929211942187997</v>
      </c>
    </row>
    <row r="8" spans="1:8" hidden="1" x14ac:dyDescent="0.25">
      <c r="A8" t="s">
        <v>8</v>
      </c>
      <c r="B8">
        <v>1440</v>
      </c>
      <c r="C8">
        <v>28362</v>
      </c>
      <c r="D8">
        <v>-0.1183637918425004</v>
      </c>
      <c r="E8">
        <v>-4.5606225145494728E-2</v>
      </c>
      <c r="F8">
        <v>2.4324268723119529</v>
      </c>
      <c r="G8">
        <v>13885</v>
      </c>
      <c r="H8">
        <v>48.956350045835983</v>
      </c>
    </row>
    <row r="9" spans="1:8" x14ac:dyDescent="0.25">
      <c r="A9" t="s">
        <v>10</v>
      </c>
      <c r="B9">
        <v>1</v>
      </c>
      <c r="C9">
        <v>5688</v>
      </c>
      <c r="D9" s="21">
        <v>-2.7717884572255359E-3</v>
      </c>
      <c r="E9" s="21">
        <v>-6.4476182819073191E-3</v>
      </c>
      <c r="F9" s="23">
        <v>0.14028982668372711</v>
      </c>
      <c r="G9">
        <v>2647</v>
      </c>
      <c r="H9" s="22">
        <v>46.536568213783397</v>
      </c>
    </row>
    <row r="10" spans="1:8" x14ac:dyDescent="0.25">
      <c r="A10" t="s">
        <v>10</v>
      </c>
      <c r="B10">
        <v>5</v>
      </c>
      <c r="C10">
        <v>5688</v>
      </c>
      <c r="D10" s="21">
        <v>-6.7341490506833621E-3</v>
      </c>
      <c r="E10" s="21">
        <v>-1.4508166018128991E-2</v>
      </c>
      <c r="F10" s="23">
        <v>0.24981523915221879</v>
      </c>
      <c r="G10">
        <v>2623</v>
      </c>
      <c r="H10" s="22">
        <v>46.114627285513357</v>
      </c>
    </row>
    <row r="11" spans="1:8" x14ac:dyDescent="0.25">
      <c r="A11" t="s">
        <v>10</v>
      </c>
      <c r="B11">
        <v>15</v>
      </c>
      <c r="C11">
        <v>5688</v>
      </c>
      <c r="D11" s="21">
        <v>-1.078728743992354E-2</v>
      </c>
      <c r="E11" s="21">
        <v>-2.381517132742372E-2</v>
      </c>
      <c r="F11" s="23">
        <v>0.42802882950282439</v>
      </c>
      <c r="G11">
        <v>2623</v>
      </c>
      <c r="H11" s="22">
        <v>46.114627285513357</v>
      </c>
    </row>
    <row r="12" spans="1:8" x14ac:dyDescent="0.25">
      <c r="A12" t="s">
        <v>10</v>
      </c>
      <c r="B12">
        <v>30</v>
      </c>
      <c r="C12">
        <v>5688</v>
      </c>
      <c r="D12" s="21">
        <v>-5.2478670063215906E-3</v>
      </c>
      <c r="E12" s="21">
        <v>-2.4565509133273041E-2</v>
      </c>
      <c r="F12" s="23">
        <v>0.54359248887718925</v>
      </c>
      <c r="G12">
        <v>2693</v>
      </c>
      <c r="H12" s="22">
        <v>47.345288326300981</v>
      </c>
    </row>
    <row r="13" spans="1:8" x14ac:dyDescent="0.25">
      <c r="A13" t="s">
        <v>10</v>
      </c>
      <c r="B13">
        <v>60</v>
      </c>
      <c r="C13">
        <v>5688</v>
      </c>
      <c r="D13" s="21">
        <v>5.250424040773507E-3</v>
      </c>
      <c r="E13" s="21">
        <v>-2.4764576364560979E-2</v>
      </c>
      <c r="F13" s="23">
        <v>0.72815511978177805</v>
      </c>
      <c r="G13">
        <v>2719</v>
      </c>
      <c r="H13" s="22">
        <v>47.80239099859353</v>
      </c>
    </row>
    <row r="14" spans="1:8" hidden="1" x14ac:dyDescent="0.25">
      <c r="A14" t="s">
        <v>10</v>
      </c>
      <c r="B14">
        <v>240</v>
      </c>
      <c r="C14">
        <v>5688</v>
      </c>
      <c r="D14">
        <v>-3.8871858827793241E-3</v>
      </c>
      <c r="E14">
        <v>-3.2501532460316167E-2</v>
      </c>
      <c r="F14">
        <v>1.2031594042708791</v>
      </c>
      <c r="G14">
        <v>2749</v>
      </c>
      <c r="H14">
        <v>48.329817158931093</v>
      </c>
    </row>
    <row r="15" spans="1:8" hidden="1" x14ac:dyDescent="0.25">
      <c r="A15" t="s">
        <v>10</v>
      </c>
      <c r="B15">
        <v>1440</v>
      </c>
      <c r="C15">
        <v>5680</v>
      </c>
      <c r="D15">
        <v>-9.3085072140675906E-2</v>
      </c>
      <c r="E15">
        <v>-7.6028900225399987E-2</v>
      </c>
      <c r="F15">
        <v>2.4945181990198169</v>
      </c>
      <c r="G15">
        <v>2741</v>
      </c>
      <c r="H15">
        <v>48.257042253521128</v>
      </c>
    </row>
    <row r="16" spans="1:8" x14ac:dyDescent="0.25">
      <c r="A16" t="s">
        <v>9</v>
      </c>
      <c r="B16">
        <v>1</v>
      </c>
      <c r="C16">
        <v>28439</v>
      </c>
      <c r="D16" s="21">
        <v>1.9810167265755922E-3</v>
      </c>
      <c r="E16" s="21">
        <v>3.1380846924333738E-3</v>
      </c>
      <c r="F16" s="23">
        <v>0.1043635919944685</v>
      </c>
      <c r="G16">
        <v>14819</v>
      </c>
      <c r="H16" s="22">
        <v>52.108020675832478</v>
      </c>
    </row>
    <row r="17" spans="1:8" x14ac:dyDescent="0.25">
      <c r="A17" t="s">
        <v>9</v>
      </c>
      <c r="B17">
        <v>5</v>
      </c>
      <c r="C17">
        <v>28438</v>
      </c>
      <c r="D17" s="21">
        <v>3.8337734610364499E-3</v>
      </c>
      <c r="E17" s="21">
        <v>7.5528597424767696E-3</v>
      </c>
      <c r="F17" s="23">
        <v>0.2276091748373692</v>
      </c>
      <c r="G17">
        <v>14909</v>
      </c>
      <c r="H17" s="22">
        <v>52.426330965609388</v>
      </c>
    </row>
    <row r="18" spans="1:8" x14ac:dyDescent="0.25">
      <c r="A18" t="s">
        <v>9</v>
      </c>
      <c r="B18">
        <v>15</v>
      </c>
      <c r="C18">
        <v>28438</v>
      </c>
      <c r="D18" s="21">
        <v>5.9742369046577072E-3</v>
      </c>
      <c r="E18" s="21">
        <v>1.255261132555585E-2</v>
      </c>
      <c r="F18" s="23">
        <v>0.35968413467553201</v>
      </c>
      <c r="G18">
        <v>14915</v>
      </c>
      <c r="H18" s="22">
        <v>52.447429495745133</v>
      </c>
    </row>
    <row r="19" spans="1:8" x14ac:dyDescent="0.25">
      <c r="A19" t="s">
        <v>9</v>
      </c>
      <c r="B19">
        <v>30</v>
      </c>
      <c r="C19">
        <v>28440</v>
      </c>
      <c r="D19" s="21">
        <v>8.8245718183424023E-3</v>
      </c>
      <c r="E19" s="21">
        <v>1.6130989245577428E-2</v>
      </c>
      <c r="F19" s="23">
        <v>0.49736766595926007</v>
      </c>
      <c r="G19">
        <v>14877</v>
      </c>
      <c r="H19" s="22">
        <v>52.310126582278492</v>
      </c>
    </row>
    <row r="20" spans="1:8" x14ac:dyDescent="0.25">
      <c r="A20" t="s">
        <v>9</v>
      </c>
      <c r="B20">
        <v>60</v>
      </c>
      <c r="C20">
        <v>28438</v>
      </c>
      <c r="D20" s="21">
        <v>1.124226463912472E-2</v>
      </c>
      <c r="E20" s="21">
        <v>2.1116348716709869E-2</v>
      </c>
      <c r="F20" s="23">
        <v>0.64318697510638856</v>
      </c>
      <c r="G20">
        <v>14829</v>
      </c>
      <c r="H20" s="22">
        <v>52.145017230466273</v>
      </c>
    </row>
    <row r="21" spans="1:8" hidden="1" x14ac:dyDescent="0.25">
      <c r="A21" t="s">
        <v>9</v>
      </c>
      <c r="B21">
        <v>240</v>
      </c>
      <c r="C21">
        <v>28433</v>
      </c>
      <c r="D21">
        <v>-8.5912158161840571E-3</v>
      </c>
      <c r="E21">
        <v>2.5066098959580781E-2</v>
      </c>
      <c r="F21">
        <v>1.135746728342931</v>
      </c>
      <c r="G21">
        <v>14584</v>
      </c>
      <c r="H21">
        <v>51.292512221714198</v>
      </c>
    </row>
    <row r="22" spans="1:8" hidden="1" x14ac:dyDescent="0.25">
      <c r="A22" t="s">
        <v>9</v>
      </c>
      <c r="B22">
        <v>1440</v>
      </c>
      <c r="C22">
        <v>28337</v>
      </c>
      <c r="D22">
        <v>-0.1170636742188346</v>
      </c>
      <c r="E22">
        <v>-4.2377762198164692E-2</v>
      </c>
      <c r="F22">
        <v>2.4082668517537851</v>
      </c>
      <c r="G22">
        <v>13905</v>
      </c>
      <c r="H22">
        <v>49.07012033736811</v>
      </c>
    </row>
    <row r="23" spans="1:8" x14ac:dyDescent="0.25">
      <c r="A23" t="s">
        <v>11</v>
      </c>
      <c r="B23">
        <v>1</v>
      </c>
      <c r="C23">
        <v>5687</v>
      </c>
      <c r="D23" s="21">
        <v>4.6494571881581974E-3</v>
      </c>
      <c r="E23" s="21">
        <v>6.2114443735383773E-3</v>
      </c>
      <c r="F23" s="23">
        <v>0.1527067866996869</v>
      </c>
      <c r="G23">
        <v>2993</v>
      </c>
      <c r="H23" s="22">
        <v>52.628802532090738</v>
      </c>
    </row>
    <row r="24" spans="1:8" x14ac:dyDescent="0.25">
      <c r="A24" t="s">
        <v>11</v>
      </c>
      <c r="B24">
        <v>5</v>
      </c>
      <c r="C24">
        <v>5687</v>
      </c>
      <c r="D24" s="21">
        <v>9.2965531613180673E-3</v>
      </c>
      <c r="E24" s="21">
        <v>1.7487708509045241E-2</v>
      </c>
      <c r="F24" s="23">
        <v>0.33263429685487178</v>
      </c>
      <c r="G24">
        <v>3077</v>
      </c>
      <c r="H24" s="22">
        <v>54.105855459820638</v>
      </c>
    </row>
    <row r="25" spans="1:8" x14ac:dyDescent="0.25">
      <c r="A25" t="s">
        <v>11</v>
      </c>
      <c r="B25">
        <v>15</v>
      </c>
      <c r="C25">
        <v>5687</v>
      </c>
      <c r="D25" s="21">
        <v>1.7009794254949629E-2</v>
      </c>
      <c r="E25" s="21">
        <v>3.2771636314277153E-2</v>
      </c>
      <c r="F25" s="23">
        <v>0.48273376527100731</v>
      </c>
      <c r="G25">
        <v>3132</v>
      </c>
      <c r="H25" s="22">
        <v>55.072973448215222</v>
      </c>
    </row>
    <row r="26" spans="1:8" x14ac:dyDescent="0.25">
      <c r="A26" t="s">
        <v>11</v>
      </c>
      <c r="B26">
        <v>30</v>
      </c>
      <c r="C26">
        <v>5688</v>
      </c>
      <c r="D26" s="21">
        <v>2.297922168047439E-2</v>
      </c>
      <c r="E26" s="21">
        <v>3.7369589976876671E-2</v>
      </c>
      <c r="F26" s="23">
        <v>0.64898699555287742</v>
      </c>
      <c r="G26">
        <v>3071</v>
      </c>
      <c r="H26" s="22">
        <v>53.990857946554151</v>
      </c>
    </row>
    <row r="27" spans="1:8" x14ac:dyDescent="0.25">
      <c r="A27" t="s">
        <v>11</v>
      </c>
      <c r="B27">
        <v>60</v>
      </c>
      <c r="C27">
        <v>5688</v>
      </c>
      <c r="D27" s="21">
        <v>3.6866531734078938E-2</v>
      </c>
      <c r="E27" s="21">
        <v>3.8872300033332419E-2</v>
      </c>
      <c r="F27" s="23">
        <v>0.770470317493958</v>
      </c>
      <c r="G27">
        <v>3036</v>
      </c>
      <c r="H27" s="22">
        <v>53.375527426160339</v>
      </c>
    </row>
    <row r="28" spans="1:8" hidden="1" x14ac:dyDescent="0.25">
      <c r="A28" t="s">
        <v>11</v>
      </c>
      <c r="B28">
        <v>240</v>
      </c>
      <c r="C28">
        <v>5688</v>
      </c>
      <c r="D28">
        <v>5.6711859605116939E-4</v>
      </c>
      <c r="E28">
        <v>5.2683349332138807E-2</v>
      </c>
      <c r="F28">
        <v>1.2717481732778091</v>
      </c>
      <c r="G28">
        <v>2988</v>
      </c>
      <c r="H28">
        <v>52.531645569620252</v>
      </c>
    </row>
    <row r="29" spans="1:8" hidden="1" x14ac:dyDescent="0.25">
      <c r="A29" t="s">
        <v>11</v>
      </c>
      <c r="B29">
        <v>1440</v>
      </c>
      <c r="C29">
        <v>5659</v>
      </c>
      <c r="D29">
        <v>-7.6844764327183623E-2</v>
      </c>
      <c r="E29">
        <v>-1.5957647540854051E-2</v>
      </c>
      <c r="F29">
        <v>2.627167052155428</v>
      </c>
      <c r="G29">
        <v>2812</v>
      </c>
      <c r="H29">
        <v>49.69075808446722</v>
      </c>
    </row>
    <row r="30" spans="1:8" x14ac:dyDescent="0.25">
      <c r="A30" t="s">
        <v>20</v>
      </c>
      <c r="B30">
        <v>1</v>
      </c>
      <c r="C30">
        <v>28440</v>
      </c>
      <c r="D30" s="21">
        <v>8.6665762614188731E-4</v>
      </c>
      <c r="E30" s="21">
        <v>0</v>
      </c>
      <c r="F30" s="23">
        <v>3.9403443834239847E-2</v>
      </c>
      <c r="G30">
        <v>13673</v>
      </c>
      <c r="H30" s="22">
        <v>48.076652601969059</v>
      </c>
    </row>
    <row r="31" spans="1:8" x14ac:dyDescent="0.25">
      <c r="A31" t="s">
        <v>20</v>
      </c>
      <c r="B31">
        <v>5</v>
      </c>
      <c r="C31">
        <v>28440</v>
      </c>
      <c r="D31" s="21">
        <v>7.479289007606473E-4</v>
      </c>
      <c r="E31" s="21">
        <v>-3.4923005510223431E-4</v>
      </c>
      <c r="F31" s="23">
        <v>8.6646341576271435E-2</v>
      </c>
      <c r="G31">
        <v>14007</v>
      </c>
      <c r="H31" s="22">
        <v>49.251054852320678</v>
      </c>
    </row>
    <row r="32" spans="1:8" x14ac:dyDescent="0.25">
      <c r="A32" t="s">
        <v>20</v>
      </c>
      <c r="B32">
        <v>15</v>
      </c>
      <c r="C32">
        <v>28439</v>
      </c>
      <c r="D32" s="21">
        <v>6.1548794203304896E-4</v>
      </c>
      <c r="E32" s="21">
        <v>-1.5453701354584131E-3</v>
      </c>
      <c r="F32" s="23">
        <v>0.14861526764375069</v>
      </c>
      <c r="G32">
        <v>14024</v>
      </c>
      <c r="H32" s="22">
        <v>49.312563732901999</v>
      </c>
    </row>
    <row r="33" spans="1:8" x14ac:dyDescent="0.25">
      <c r="A33" t="s">
        <v>20</v>
      </c>
      <c r="B33">
        <v>30</v>
      </c>
      <c r="C33">
        <v>28437</v>
      </c>
      <c r="D33" s="21">
        <v>-7.5566520727849329E-4</v>
      </c>
      <c r="E33" s="21">
        <v>-2.4758848812256318E-4</v>
      </c>
      <c r="F33" s="23">
        <v>0.21354167655283879</v>
      </c>
      <c r="G33">
        <v>14186</v>
      </c>
      <c r="H33" s="22">
        <v>49.885712276259802</v>
      </c>
    </row>
    <row r="34" spans="1:8" x14ac:dyDescent="0.25">
      <c r="A34" t="s">
        <v>20</v>
      </c>
      <c r="B34">
        <v>60</v>
      </c>
      <c r="C34">
        <v>28440</v>
      </c>
      <c r="D34" s="21">
        <v>-1.8665898410750411E-3</v>
      </c>
      <c r="E34" s="21">
        <v>-1.6800129121419261E-3</v>
      </c>
      <c r="F34" s="23">
        <v>0.30334246769558998</v>
      </c>
      <c r="G34">
        <v>14121</v>
      </c>
      <c r="H34" s="22">
        <v>49.651898734177223</v>
      </c>
    </row>
    <row r="35" spans="1:8" hidden="1" x14ac:dyDescent="0.25">
      <c r="A35" t="s">
        <v>20</v>
      </c>
      <c r="B35">
        <v>240</v>
      </c>
      <c r="C35">
        <v>28429</v>
      </c>
      <c r="D35">
        <v>-3.9781888396422894E-3</v>
      </c>
      <c r="E35">
        <v>5.5123840901449839E-3</v>
      </c>
      <c r="F35">
        <v>0.66458767169235833</v>
      </c>
      <c r="G35">
        <v>14393</v>
      </c>
      <c r="H35">
        <v>50.627879981708823</v>
      </c>
    </row>
    <row r="36" spans="1:8" hidden="1" x14ac:dyDescent="0.25">
      <c r="A36" t="s">
        <v>20</v>
      </c>
      <c r="B36">
        <v>1440</v>
      </c>
      <c r="C36">
        <v>28411</v>
      </c>
      <c r="D36">
        <v>-4.7099247433028228E-2</v>
      </c>
      <c r="E36">
        <v>7.191094838516765E-2</v>
      </c>
      <c r="F36">
        <v>1.8462974346287431</v>
      </c>
      <c r="G36">
        <v>14921</v>
      </c>
      <c r="H36">
        <v>52.518390764140648</v>
      </c>
    </row>
    <row r="37" spans="1:8" x14ac:dyDescent="0.25">
      <c r="A37" t="s">
        <v>21</v>
      </c>
      <c r="B37">
        <v>1</v>
      </c>
      <c r="C37">
        <v>28440</v>
      </c>
      <c r="D37" s="21">
        <v>-2.1259473658230931E-4</v>
      </c>
      <c r="E37" s="21">
        <v>0</v>
      </c>
      <c r="F37" s="23">
        <v>3.9659335236260057E-2</v>
      </c>
      <c r="G37">
        <v>13708</v>
      </c>
      <c r="H37" s="22">
        <v>48.199718706047832</v>
      </c>
    </row>
    <row r="38" spans="1:8" x14ac:dyDescent="0.25">
      <c r="A38" t="s">
        <v>21</v>
      </c>
      <c r="B38">
        <v>5</v>
      </c>
      <c r="C38">
        <v>28440</v>
      </c>
      <c r="D38" s="21">
        <v>6.6962752375612192E-4</v>
      </c>
      <c r="E38" s="21">
        <v>1.5388598421095521E-3</v>
      </c>
      <c r="F38" s="23">
        <v>8.3927640819681654E-2</v>
      </c>
      <c r="G38">
        <v>14580</v>
      </c>
      <c r="H38" s="22">
        <v>51.265822784810119</v>
      </c>
    </row>
    <row r="39" spans="1:8" x14ac:dyDescent="0.25">
      <c r="A39" t="s">
        <v>21</v>
      </c>
      <c r="B39">
        <v>15</v>
      </c>
      <c r="C39">
        <v>28439</v>
      </c>
      <c r="D39" s="21">
        <v>1.246674209639001E-3</v>
      </c>
      <c r="E39" s="21">
        <v>1.8454756845365241E-3</v>
      </c>
      <c r="F39" s="23">
        <v>0.1435610485418978</v>
      </c>
      <c r="G39">
        <v>14409</v>
      </c>
      <c r="H39" s="22">
        <v>50.666338478849468</v>
      </c>
    </row>
    <row r="40" spans="1:8" x14ac:dyDescent="0.25">
      <c r="A40" t="s">
        <v>21</v>
      </c>
      <c r="B40">
        <v>30</v>
      </c>
      <c r="C40">
        <v>28438</v>
      </c>
      <c r="D40" s="21">
        <v>1.1692438767177439E-3</v>
      </c>
      <c r="E40" s="21">
        <v>1.618174599138378E-3</v>
      </c>
      <c r="F40" s="23">
        <v>0.20405071755116669</v>
      </c>
      <c r="G40">
        <v>14361</v>
      </c>
      <c r="H40" s="22">
        <v>50.499331879879037</v>
      </c>
    </row>
    <row r="41" spans="1:8" x14ac:dyDescent="0.25">
      <c r="A41" t="s">
        <v>21</v>
      </c>
      <c r="B41">
        <v>60</v>
      </c>
      <c r="C41">
        <v>28438</v>
      </c>
      <c r="D41" s="21">
        <v>4.2330978198728528E-4</v>
      </c>
      <c r="E41" s="21">
        <v>2.4424147953117088E-3</v>
      </c>
      <c r="F41" s="23">
        <v>0.29598369730455948</v>
      </c>
      <c r="G41">
        <v>14377</v>
      </c>
      <c r="H41" s="22">
        <v>50.555594626907663</v>
      </c>
    </row>
    <row r="42" spans="1:8" hidden="1" x14ac:dyDescent="0.25">
      <c r="A42" t="s">
        <v>21</v>
      </c>
      <c r="B42">
        <v>240</v>
      </c>
      <c r="C42">
        <v>28431</v>
      </c>
      <c r="D42">
        <v>-1.340948002300903E-2</v>
      </c>
      <c r="E42">
        <v>1.101069358555584E-3</v>
      </c>
      <c r="F42">
        <v>0.67250666760117639</v>
      </c>
      <c r="G42">
        <v>14257</v>
      </c>
      <c r="H42">
        <v>50.145967429918038</v>
      </c>
    </row>
    <row r="43" spans="1:8" hidden="1" x14ac:dyDescent="0.25">
      <c r="A43" t="s">
        <v>21</v>
      </c>
      <c r="B43">
        <v>1440</v>
      </c>
      <c r="C43">
        <v>28403</v>
      </c>
      <c r="D43">
        <v>-3.4606682698196833E-2</v>
      </c>
      <c r="E43">
        <v>7.7300683677861137E-2</v>
      </c>
      <c r="F43">
        <v>1.798316709253148</v>
      </c>
      <c r="G43">
        <v>14968</v>
      </c>
      <c r="H43">
        <v>52.698658592402211</v>
      </c>
    </row>
    <row r="44" spans="1:8" x14ac:dyDescent="0.25">
      <c r="A44" t="s">
        <v>22</v>
      </c>
      <c r="B44">
        <v>1</v>
      </c>
      <c r="C44">
        <v>5688</v>
      </c>
      <c r="D44" s="21">
        <v>1.7754565292213071E-3</v>
      </c>
      <c r="E44" s="21">
        <v>0</v>
      </c>
      <c r="F44" s="23">
        <v>3.1997617993781598E-2</v>
      </c>
      <c r="G44">
        <v>2791</v>
      </c>
      <c r="H44" s="22">
        <v>49.068213783403657</v>
      </c>
    </row>
    <row r="45" spans="1:8" x14ac:dyDescent="0.25">
      <c r="A45" t="s">
        <v>22</v>
      </c>
      <c r="B45">
        <v>5</v>
      </c>
      <c r="C45">
        <v>5688</v>
      </c>
      <c r="D45" s="21">
        <v>2.078118848861497E-3</v>
      </c>
      <c r="E45" s="21">
        <v>9.0399893171166923E-5</v>
      </c>
      <c r="F45" s="23">
        <v>6.9652186807337299E-2</v>
      </c>
      <c r="G45">
        <v>2852</v>
      </c>
      <c r="H45" s="22">
        <v>50.140646976090011</v>
      </c>
    </row>
    <row r="46" spans="1:8" x14ac:dyDescent="0.25">
      <c r="A46" t="s">
        <v>22</v>
      </c>
      <c r="B46">
        <v>15</v>
      </c>
      <c r="C46">
        <v>5688</v>
      </c>
      <c r="D46" s="21">
        <v>2.3128110715711549E-3</v>
      </c>
      <c r="E46" s="21">
        <v>8.6281879418947938E-5</v>
      </c>
      <c r="F46" s="23">
        <v>0.1178739171447684</v>
      </c>
      <c r="G46">
        <v>2845</v>
      </c>
      <c r="H46" s="22">
        <v>50.017580872011237</v>
      </c>
    </row>
    <row r="47" spans="1:8" x14ac:dyDescent="0.25">
      <c r="A47" t="s">
        <v>22</v>
      </c>
      <c r="B47">
        <v>30</v>
      </c>
      <c r="C47">
        <v>5686</v>
      </c>
      <c r="D47" s="21">
        <v>2.8444385158326248E-3</v>
      </c>
      <c r="E47" s="21">
        <v>3.588602278825626E-3</v>
      </c>
      <c r="F47" s="23">
        <v>0.16791126208361659</v>
      </c>
      <c r="G47">
        <v>2908</v>
      </c>
      <c r="H47" s="22">
        <v>51.143158635244447</v>
      </c>
    </row>
    <row r="48" spans="1:8" x14ac:dyDescent="0.25">
      <c r="A48" t="s">
        <v>22</v>
      </c>
      <c r="B48">
        <v>60</v>
      </c>
      <c r="C48">
        <v>5688</v>
      </c>
      <c r="D48" s="21">
        <v>8.0966041972818665E-3</v>
      </c>
      <c r="E48" s="21">
        <v>2.920093245362132E-3</v>
      </c>
      <c r="F48" s="23">
        <v>0.2454270789387118</v>
      </c>
      <c r="G48">
        <v>2898</v>
      </c>
      <c r="H48" s="22">
        <v>50.949367088607602</v>
      </c>
    </row>
    <row r="49" spans="1:8" hidden="1" x14ac:dyDescent="0.25">
      <c r="A49" t="s">
        <v>22</v>
      </c>
      <c r="B49">
        <v>240</v>
      </c>
      <c r="C49">
        <v>5685</v>
      </c>
      <c r="D49">
        <v>1.381593261822963E-2</v>
      </c>
      <c r="E49">
        <v>1.6325007579465201E-2</v>
      </c>
      <c r="F49">
        <v>0.57752317138286113</v>
      </c>
      <c r="G49">
        <v>2968</v>
      </c>
      <c r="H49">
        <v>52.207563764291997</v>
      </c>
    </row>
    <row r="50" spans="1:8" hidden="1" x14ac:dyDescent="0.25">
      <c r="A50" t="s">
        <v>22</v>
      </c>
      <c r="B50">
        <v>1440</v>
      </c>
      <c r="C50">
        <v>5684</v>
      </c>
      <c r="D50">
        <v>-8.0612890116051866E-3</v>
      </c>
      <c r="E50">
        <v>0.1182809678932584</v>
      </c>
      <c r="F50">
        <v>1.6896711824329329</v>
      </c>
      <c r="G50">
        <v>3112</v>
      </c>
      <c r="H50">
        <v>54.750175932441948</v>
      </c>
    </row>
    <row r="51" spans="1:8" x14ac:dyDescent="0.25">
      <c r="A51" t="s">
        <v>23</v>
      </c>
      <c r="B51">
        <v>1</v>
      </c>
      <c r="C51">
        <v>5688</v>
      </c>
      <c r="D51" s="21">
        <v>-1.1044137435847489E-3</v>
      </c>
      <c r="E51" s="21">
        <v>0</v>
      </c>
      <c r="F51" s="23">
        <v>3.0200647503730148E-2</v>
      </c>
      <c r="G51">
        <v>2577</v>
      </c>
      <c r="H51" s="22">
        <v>45.305907172995781</v>
      </c>
    </row>
    <row r="52" spans="1:8" x14ac:dyDescent="0.25">
      <c r="A52" t="s">
        <v>23</v>
      </c>
      <c r="B52">
        <v>5</v>
      </c>
      <c r="C52">
        <v>5688</v>
      </c>
      <c r="D52" s="21">
        <v>3.56184397306918E-4</v>
      </c>
      <c r="E52" s="21">
        <v>1.2912590648395119E-3</v>
      </c>
      <c r="F52" s="23">
        <v>6.6333262287392003E-2</v>
      </c>
      <c r="G52">
        <v>2925</v>
      </c>
      <c r="H52" s="22">
        <v>51.424050632911388</v>
      </c>
    </row>
    <row r="53" spans="1:8" x14ac:dyDescent="0.25">
      <c r="A53" t="s">
        <v>23</v>
      </c>
      <c r="B53">
        <v>15</v>
      </c>
      <c r="C53">
        <v>5688</v>
      </c>
      <c r="D53" s="21">
        <v>3.1276234316338922E-3</v>
      </c>
      <c r="E53" s="21">
        <v>2.2034625206668319E-3</v>
      </c>
      <c r="F53" s="23">
        <v>0.1140723290633026</v>
      </c>
      <c r="G53">
        <v>2899</v>
      </c>
      <c r="H53" s="22">
        <v>50.966947960618853</v>
      </c>
    </row>
    <row r="54" spans="1:8" x14ac:dyDescent="0.25">
      <c r="A54" t="s">
        <v>23</v>
      </c>
      <c r="B54">
        <v>30</v>
      </c>
      <c r="C54">
        <v>5688</v>
      </c>
      <c r="D54" s="21">
        <v>7.087238291483805E-3</v>
      </c>
      <c r="E54" s="21">
        <v>5.3507227010474168E-3</v>
      </c>
      <c r="F54" s="23">
        <v>0.1601277891976404</v>
      </c>
      <c r="G54">
        <v>2943</v>
      </c>
      <c r="H54" s="22">
        <v>51.74050632911392</v>
      </c>
    </row>
    <row r="55" spans="1:8" x14ac:dyDescent="0.25">
      <c r="A55" t="s">
        <v>23</v>
      </c>
      <c r="B55">
        <v>60</v>
      </c>
      <c r="C55">
        <v>5688</v>
      </c>
      <c r="D55" s="21">
        <v>8.8870991914765662E-3</v>
      </c>
      <c r="E55" s="21">
        <v>5.9185768386038617E-3</v>
      </c>
      <c r="F55" s="23">
        <v>0.23003312422533079</v>
      </c>
      <c r="G55">
        <v>2934</v>
      </c>
      <c r="H55" s="22">
        <v>51.582278481012658</v>
      </c>
    </row>
    <row r="56" spans="1:8" hidden="1" x14ac:dyDescent="0.25">
      <c r="A56" t="s">
        <v>23</v>
      </c>
      <c r="B56">
        <v>240</v>
      </c>
      <c r="C56">
        <v>5686</v>
      </c>
      <c r="D56">
        <v>-8.9399282567790578E-3</v>
      </c>
      <c r="E56">
        <v>4.9101664531536748E-3</v>
      </c>
      <c r="F56">
        <v>0.56381396474350798</v>
      </c>
      <c r="G56">
        <v>2882</v>
      </c>
      <c r="H56">
        <v>50.685895181146677</v>
      </c>
    </row>
    <row r="57" spans="1:8" hidden="1" x14ac:dyDescent="0.25">
      <c r="A57" t="s">
        <v>23</v>
      </c>
      <c r="B57">
        <v>1440</v>
      </c>
      <c r="C57">
        <v>5685</v>
      </c>
      <c r="D57">
        <v>-4.0772774128125598E-2</v>
      </c>
      <c r="E57">
        <v>0.1080247052500871</v>
      </c>
      <c r="F57">
        <v>1.6591959094421691</v>
      </c>
      <c r="G57">
        <v>3102</v>
      </c>
      <c r="H57">
        <v>54.5646437994723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F17" sqref="F17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8</v>
      </c>
      <c r="B2">
        <v>1</v>
      </c>
      <c r="C2">
        <v>28440</v>
      </c>
      <c r="D2">
        <v>-1.650239108595148E-3</v>
      </c>
      <c r="E2">
        <v>-4.1208710794271566E-3</v>
      </c>
      <c r="F2">
        <v>0.1044507565031591</v>
      </c>
      <c r="G2">
        <v>13355</v>
      </c>
      <c r="H2">
        <v>46.958509142053437</v>
      </c>
    </row>
    <row r="3" spans="1:8" x14ac:dyDescent="0.25">
      <c r="A3" t="s">
        <v>8</v>
      </c>
      <c r="B3">
        <v>5</v>
      </c>
      <c r="C3">
        <v>28440</v>
      </c>
      <c r="D3">
        <v>-4.762012170328336E-3</v>
      </c>
      <c r="E3">
        <v>-9.1014589323701323E-3</v>
      </c>
      <c r="F3">
        <v>0.20781740361506901</v>
      </c>
      <c r="G3">
        <v>13305</v>
      </c>
      <c r="H3">
        <v>46.782700421940923</v>
      </c>
    </row>
    <row r="4" spans="1:8" x14ac:dyDescent="0.25">
      <c r="A4" t="s">
        <v>8</v>
      </c>
      <c r="B4">
        <v>15</v>
      </c>
      <c r="C4">
        <v>28440</v>
      </c>
      <c r="D4">
        <v>-5.4941101646227902E-3</v>
      </c>
      <c r="E4">
        <v>-1.141393991412332E-2</v>
      </c>
      <c r="F4">
        <v>0.34648736080976561</v>
      </c>
      <c r="G4">
        <v>13560</v>
      </c>
      <c r="H4">
        <v>47.679324894514771</v>
      </c>
    </row>
    <row r="5" spans="1:8" x14ac:dyDescent="0.25">
      <c r="A5" t="s">
        <v>8</v>
      </c>
      <c r="B5">
        <v>30</v>
      </c>
      <c r="C5">
        <v>28439</v>
      </c>
      <c r="D5">
        <v>-6.8585614397942444E-3</v>
      </c>
      <c r="E5">
        <v>-1.2086996897175959E-2</v>
      </c>
      <c r="F5">
        <v>0.4595133682060496</v>
      </c>
      <c r="G5">
        <v>13731</v>
      </c>
      <c r="H5">
        <v>48.282288406765353</v>
      </c>
    </row>
    <row r="6" spans="1:8" x14ac:dyDescent="0.25">
      <c r="A6" t="s">
        <v>8</v>
      </c>
      <c r="B6">
        <v>60</v>
      </c>
      <c r="C6">
        <v>28440</v>
      </c>
      <c r="D6">
        <v>-7.5663974987770369E-3</v>
      </c>
      <c r="E6">
        <v>-1.37106452747171E-2</v>
      </c>
      <c r="F6">
        <v>0.62792493743959943</v>
      </c>
      <c r="G6">
        <v>13813</v>
      </c>
      <c r="H6">
        <v>48.568917018284111</v>
      </c>
    </row>
    <row r="7" spans="1:8" x14ac:dyDescent="0.25">
      <c r="A7" t="s">
        <v>8</v>
      </c>
      <c r="B7">
        <v>240</v>
      </c>
      <c r="C7">
        <v>28437</v>
      </c>
      <c r="D7">
        <v>-2.2294922792978521E-2</v>
      </c>
      <c r="E7">
        <v>-1.7687310460212661E-2</v>
      </c>
      <c r="F7">
        <v>1.108144474740999</v>
      </c>
      <c r="G7">
        <v>13914</v>
      </c>
      <c r="H7">
        <v>48.929211942187997</v>
      </c>
    </row>
    <row r="8" spans="1:8" x14ac:dyDescent="0.25">
      <c r="A8" t="s">
        <v>8</v>
      </c>
      <c r="B8">
        <v>1440</v>
      </c>
      <c r="C8">
        <v>28362</v>
      </c>
      <c r="D8">
        <v>-0.1183637918425004</v>
      </c>
      <c r="E8">
        <v>-4.5606225145494728E-2</v>
      </c>
      <c r="F8">
        <v>2.4324268723119529</v>
      </c>
      <c r="G8">
        <v>13885</v>
      </c>
      <c r="H8">
        <v>48.956350045835983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G55" sqref="G55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10</v>
      </c>
      <c r="B2">
        <v>1</v>
      </c>
      <c r="C2">
        <v>5688</v>
      </c>
      <c r="D2">
        <v>-2.7717884572255359E-3</v>
      </c>
      <c r="E2">
        <v>-6.4476182819073191E-3</v>
      </c>
      <c r="F2">
        <v>0.14028982668372711</v>
      </c>
      <c r="G2">
        <v>2647</v>
      </c>
      <c r="H2">
        <v>46.536568213783397</v>
      </c>
    </row>
    <row r="3" spans="1:8" x14ac:dyDescent="0.25">
      <c r="A3" t="s">
        <v>10</v>
      </c>
      <c r="B3">
        <v>5</v>
      </c>
      <c r="C3">
        <v>5688</v>
      </c>
      <c r="D3">
        <v>-6.7341490506833621E-3</v>
      </c>
      <c r="E3">
        <v>-1.4508166018128991E-2</v>
      </c>
      <c r="F3">
        <v>0.24981523915221879</v>
      </c>
      <c r="G3">
        <v>2623</v>
      </c>
      <c r="H3">
        <v>46.114627285513357</v>
      </c>
    </row>
    <row r="4" spans="1:8" x14ac:dyDescent="0.25">
      <c r="A4" t="s">
        <v>10</v>
      </c>
      <c r="B4">
        <v>15</v>
      </c>
      <c r="C4">
        <v>5688</v>
      </c>
      <c r="D4">
        <v>-1.078728743992354E-2</v>
      </c>
      <c r="E4">
        <v>-2.381517132742372E-2</v>
      </c>
      <c r="F4">
        <v>0.42802882950282439</v>
      </c>
      <c r="G4">
        <v>2623</v>
      </c>
      <c r="H4">
        <v>46.114627285513357</v>
      </c>
    </row>
    <row r="5" spans="1:8" x14ac:dyDescent="0.25">
      <c r="A5" t="s">
        <v>10</v>
      </c>
      <c r="B5">
        <v>30</v>
      </c>
      <c r="C5">
        <v>5688</v>
      </c>
      <c r="D5">
        <v>-5.2478670063215906E-3</v>
      </c>
      <c r="E5">
        <v>-2.4565509133273041E-2</v>
      </c>
      <c r="F5">
        <v>0.54359248887718925</v>
      </c>
      <c r="G5">
        <v>2693</v>
      </c>
      <c r="H5">
        <v>47.345288326300981</v>
      </c>
    </row>
    <row r="6" spans="1:8" x14ac:dyDescent="0.25">
      <c r="A6" t="s">
        <v>10</v>
      </c>
      <c r="B6">
        <v>60</v>
      </c>
      <c r="C6">
        <v>5688</v>
      </c>
      <c r="D6">
        <v>5.250424040773507E-3</v>
      </c>
      <c r="E6">
        <v>-2.4764576364560979E-2</v>
      </c>
      <c r="F6">
        <v>0.72815511978177805</v>
      </c>
      <c r="G6">
        <v>2719</v>
      </c>
      <c r="H6">
        <v>47.80239099859353</v>
      </c>
    </row>
    <row r="7" spans="1:8" x14ac:dyDescent="0.25">
      <c r="A7" t="s">
        <v>10</v>
      </c>
      <c r="B7">
        <v>240</v>
      </c>
      <c r="C7">
        <v>5688</v>
      </c>
      <c r="D7">
        <v>-3.8871858827793241E-3</v>
      </c>
      <c r="E7">
        <v>-3.2501532460316167E-2</v>
      </c>
      <c r="F7">
        <v>1.2031594042708791</v>
      </c>
      <c r="G7">
        <v>2749</v>
      </c>
      <c r="H7">
        <v>48.329817158931093</v>
      </c>
    </row>
    <row r="8" spans="1:8" x14ac:dyDescent="0.25">
      <c r="A8" t="s">
        <v>10</v>
      </c>
      <c r="B8">
        <v>1440</v>
      </c>
      <c r="C8">
        <v>5680</v>
      </c>
      <c r="D8">
        <v>-9.3085072140675906E-2</v>
      </c>
      <c r="E8">
        <v>-7.6028900225399987E-2</v>
      </c>
      <c r="F8">
        <v>2.4945181990198169</v>
      </c>
      <c r="G8">
        <v>2741</v>
      </c>
      <c r="H8">
        <v>48.257042253521128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9</v>
      </c>
      <c r="B2">
        <v>1</v>
      </c>
      <c r="C2">
        <v>28439</v>
      </c>
      <c r="D2">
        <v>1.9810167265755922E-3</v>
      </c>
      <c r="E2">
        <v>3.1380846924333738E-3</v>
      </c>
      <c r="F2">
        <v>0.1043635919944685</v>
      </c>
      <c r="G2">
        <v>14819</v>
      </c>
      <c r="H2">
        <v>52.108020675832478</v>
      </c>
    </row>
    <row r="3" spans="1:8" x14ac:dyDescent="0.25">
      <c r="A3" t="s">
        <v>9</v>
      </c>
      <c r="B3">
        <v>5</v>
      </c>
      <c r="C3">
        <v>28438</v>
      </c>
      <c r="D3">
        <v>3.8337734610364499E-3</v>
      </c>
      <c r="E3">
        <v>7.5528597424767696E-3</v>
      </c>
      <c r="F3">
        <v>0.2276091748373692</v>
      </c>
      <c r="G3">
        <v>14909</v>
      </c>
      <c r="H3">
        <v>52.426330965609388</v>
      </c>
    </row>
    <row r="4" spans="1:8" x14ac:dyDescent="0.25">
      <c r="A4" t="s">
        <v>9</v>
      </c>
      <c r="B4">
        <v>15</v>
      </c>
      <c r="C4">
        <v>28438</v>
      </c>
      <c r="D4">
        <v>5.9742369046577072E-3</v>
      </c>
      <c r="E4">
        <v>1.255261132555585E-2</v>
      </c>
      <c r="F4">
        <v>0.35968413467553201</v>
      </c>
      <c r="G4">
        <v>14915</v>
      </c>
      <c r="H4">
        <v>52.447429495745133</v>
      </c>
    </row>
    <row r="5" spans="1:8" x14ac:dyDescent="0.25">
      <c r="A5" t="s">
        <v>9</v>
      </c>
      <c r="B5">
        <v>30</v>
      </c>
      <c r="C5">
        <v>28440</v>
      </c>
      <c r="D5">
        <v>8.8245718183424023E-3</v>
      </c>
      <c r="E5">
        <v>1.6130989245577428E-2</v>
      </c>
      <c r="F5">
        <v>0.49736766595926007</v>
      </c>
      <c r="G5">
        <v>14877</v>
      </c>
      <c r="H5">
        <v>52.310126582278492</v>
      </c>
    </row>
    <row r="6" spans="1:8" x14ac:dyDescent="0.25">
      <c r="A6" t="s">
        <v>9</v>
      </c>
      <c r="B6">
        <v>60</v>
      </c>
      <c r="C6">
        <v>28438</v>
      </c>
      <c r="D6">
        <v>1.124226463912472E-2</v>
      </c>
      <c r="E6">
        <v>2.1116348716709869E-2</v>
      </c>
      <c r="F6">
        <v>0.64318697510638856</v>
      </c>
      <c r="G6">
        <v>14829</v>
      </c>
      <c r="H6">
        <v>52.145017230466273</v>
      </c>
    </row>
    <row r="7" spans="1:8" x14ac:dyDescent="0.25">
      <c r="A7" t="s">
        <v>9</v>
      </c>
      <c r="B7">
        <v>240</v>
      </c>
      <c r="C7">
        <v>28433</v>
      </c>
      <c r="D7">
        <v>-8.5912158161840571E-3</v>
      </c>
      <c r="E7">
        <v>2.5066098959580781E-2</v>
      </c>
      <c r="F7">
        <v>1.135746728342931</v>
      </c>
      <c r="G7">
        <v>14584</v>
      </c>
      <c r="H7">
        <v>51.292512221714198</v>
      </c>
    </row>
    <row r="8" spans="1:8" x14ac:dyDescent="0.25">
      <c r="A8" t="s">
        <v>9</v>
      </c>
      <c r="B8">
        <v>1440</v>
      </c>
      <c r="C8">
        <v>28337</v>
      </c>
      <c r="D8">
        <v>-0.1170636742188346</v>
      </c>
      <c r="E8">
        <v>-4.2377762198164692E-2</v>
      </c>
      <c r="F8">
        <v>2.4082668517537851</v>
      </c>
      <c r="G8">
        <v>13905</v>
      </c>
      <c r="H8">
        <v>49.07012033736811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11</v>
      </c>
      <c r="B2">
        <v>1</v>
      </c>
      <c r="C2">
        <v>5687</v>
      </c>
      <c r="D2">
        <v>4.6494571881581974E-3</v>
      </c>
      <c r="E2">
        <v>6.2114443735383773E-3</v>
      </c>
      <c r="F2">
        <v>0.1527067866996869</v>
      </c>
      <c r="G2">
        <v>2993</v>
      </c>
      <c r="H2">
        <v>52.628802532090738</v>
      </c>
    </row>
    <row r="3" spans="1:8" x14ac:dyDescent="0.25">
      <c r="A3" t="s">
        <v>11</v>
      </c>
      <c r="B3">
        <v>5</v>
      </c>
      <c r="C3">
        <v>5687</v>
      </c>
      <c r="D3">
        <v>9.2965531613180673E-3</v>
      </c>
      <c r="E3">
        <v>1.7487708509045241E-2</v>
      </c>
      <c r="F3">
        <v>0.33263429685487178</v>
      </c>
      <c r="G3">
        <v>3077</v>
      </c>
      <c r="H3">
        <v>54.105855459820638</v>
      </c>
    </row>
    <row r="4" spans="1:8" x14ac:dyDescent="0.25">
      <c r="A4" t="s">
        <v>11</v>
      </c>
      <c r="B4">
        <v>15</v>
      </c>
      <c r="C4">
        <v>5687</v>
      </c>
      <c r="D4">
        <v>1.7009794254949629E-2</v>
      </c>
      <c r="E4">
        <v>3.2771636314277153E-2</v>
      </c>
      <c r="F4">
        <v>0.48273376527100731</v>
      </c>
      <c r="G4">
        <v>3132</v>
      </c>
      <c r="H4">
        <v>55.072973448215222</v>
      </c>
    </row>
    <row r="5" spans="1:8" x14ac:dyDescent="0.25">
      <c r="A5" t="s">
        <v>11</v>
      </c>
      <c r="B5">
        <v>30</v>
      </c>
      <c r="C5">
        <v>5688</v>
      </c>
      <c r="D5">
        <v>2.297922168047439E-2</v>
      </c>
      <c r="E5">
        <v>3.7369589976876671E-2</v>
      </c>
      <c r="F5">
        <v>0.64898699555287742</v>
      </c>
      <c r="G5">
        <v>3071</v>
      </c>
      <c r="H5">
        <v>53.990857946554151</v>
      </c>
    </row>
    <row r="6" spans="1:8" x14ac:dyDescent="0.25">
      <c r="A6" t="s">
        <v>11</v>
      </c>
      <c r="B6">
        <v>60</v>
      </c>
      <c r="C6">
        <v>5688</v>
      </c>
      <c r="D6">
        <v>3.6866531734078938E-2</v>
      </c>
      <c r="E6">
        <v>3.8872300033332419E-2</v>
      </c>
      <c r="F6">
        <v>0.770470317493958</v>
      </c>
      <c r="G6">
        <v>3036</v>
      </c>
      <c r="H6">
        <v>53.375527426160339</v>
      </c>
    </row>
    <row r="7" spans="1:8" x14ac:dyDescent="0.25">
      <c r="A7" t="s">
        <v>11</v>
      </c>
      <c r="B7">
        <v>240</v>
      </c>
      <c r="C7">
        <v>5688</v>
      </c>
      <c r="D7">
        <v>5.6711859605116939E-4</v>
      </c>
      <c r="E7">
        <v>5.2683349332138807E-2</v>
      </c>
      <c r="F7">
        <v>1.2717481732778091</v>
      </c>
      <c r="G7">
        <v>2988</v>
      </c>
      <c r="H7">
        <v>52.531645569620252</v>
      </c>
    </row>
    <row r="8" spans="1:8" x14ac:dyDescent="0.25">
      <c r="A8" t="s">
        <v>11</v>
      </c>
      <c r="B8">
        <v>1440</v>
      </c>
      <c r="C8">
        <v>5659</v>
      </c>
      <c r="D8">
        <v>-7.6844764327183623E-2</v>
      </c>
      <c r="E8">
        <v>-1.5957647540854051E-2</v>
      </c>
      <c r="F8">
        <v>2.627167052155428</v>
      </c>
      <c r="G8">
        <v>2812</v>
      </c>
      <c r="H8">
        <v>49.69075808446722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20</v>
      </c>
      <c r="B2">
        <v>1</v>
      </c>
      <c r="C2">
        <v>28440</v>
      </c>
      <c r="D2">
        <v>8.6665762614188731E-4</v>
      </c>
      <c r="E2">
        <v>0</v>
      </c>
      <c r="F2">
        <v>3.9403443834239847E-2</v>
      </c>
      <c r="G2">
        <v>13673</v>
      </c>
      <c r="H2">
        <v>48.076652601969059</v>
      </c>
    </row>
    <row r="3" spans="1:8" x14ac:dyDescent="0.25">
      <c r="A3" t="s">
        <v>20</v>
      </c>
      <c r="B3">
        <v>5</v>
      </c>
      <c r="C3">
        <v>28440</v>
      </c>
      <c r="D3">
        <v>7.479289007606473E-4</v>
      </c>
      <c r="E3">
        <v>-3.4923005510223431E-4</v>
      </c>
      <c r="F3">
        <v>8.6646341576271435E-2</v>
      </c>
      <c r="G3">
        <v>14007</v>
      </c>
      <c r="H3">
        <v>49.251054852320678</v>
      </c>
    </row>
    <row r="4" spans="1:8" x14ac:dyDescent="0.25">
      <c r="A4" t="s">
        <v>20</v>
      </c>
      <c r="B4">
        <v>15</v>
      </c>
      <c r="C4">
        <v>28439</v>
      </c>
      <c r="D4">
        <v>6.1548794203304896E-4</v>
      </c>
      <c r="E4">
        <v>-1.5453701354584131E-3</v>
      </c>
      <c r="F4">
        <v>0.14861526764375069</v>
      </c>
      <c r="G4">
        <v>14024</v>
      </c>
      <c r="H4">
        <v>49.312563732901999</v>
      </c>
    </row>
    <row r="5" spans="1:8" x14ac:dyDescent="0.25">
      <c r="A5" t="s">
        <v>20</v>
      </c>
      <c r="B5">
        <v>30</v>
      </c>
      <c r="C5">
        <v>28437</v>
      </c>
      <c r="D5">
        <v>-7.5566520727849329E-4</v>
      </c>
      <c r="E5">
        <v>-2.4758848812256318E-4</v>
      </c>
      <c r="F5">
        <v>0.21354167655283879</v>
      </c>
      <c r="G5">
        <v>14186</v>
      </c>
      <c r="H5">
        <v>49.885712276259802</v>
      </c>
    </row>
    <row r="6" spans="1:8" x14ac:dyDescent="0.25">
      <c r="A6" t="s">
        <v>20</v>
      </c>
      <c r="B6">
        <v>60</v>
      </c>
      <c r="C6">
        <v>28440</v>
      </c>
      <c r="D6">
        <v>-1.8665898410750411E-3</v>
      </c>
      <c r="E6">
        <v>-1.6800129121419261E-3</v>
      </c>
      <c r="F6">
        <v>0.30334246769558998</v>
      </c>
      <c r="G6">
        <v>14121</v>
      </c>
      <c r="H6">
        <v>49.651898734177223</v>
      </c>
    </row>
    <row r="7" spans="1:8" x14ac:dyDescent="0.25">
      <c r="A7" t="s">
        <v>20</v>
      </c>
      <c r="B7">
        <v>240</v>
      </c>
      <c r="C7">
        <v>28429</v>
      </c>
      <c r="D7">
        <v>-3.9781888396422894E-3</v>
      </c>
      <c r="E7">
        <v>5.5123840901449839E-3</v>
      </c>
      <c r="F7">
        <v>0.66458767169235833</v>
      </c>
      <c r="G7">
        <v>14393</v>
      </c>
      <c r="H7">
        <v>50.627879981708823</v>
      </c>
    </row>
    <row r="8" spans="1:8" x14ac:dyDescent="0.25">
      <c r="A8" t="s">
        <v>20</v>
      </c>
      <c r="B8">
        <v>1440</v>
      </c>
      <c r="C8">
        <v>28411</v>
      </c>
      <c r="D8">
        <v>-4.7099247433028228E-2</v>
      </c>
      <c r="E8">
        <v>7.191094838516765E-2</v>
      </c>
      <c r="F8">
        <v>1.8462974346287431</v>
      </c>
      <c r="G8">
        <v>14921</v>
      </c>
      <c r="H8">
        <v>52.518390764140648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21</v>
      </c>
      <c r="B2">
        <v>1</v>
      </c>
      <c r="C2">
        <v>28440</v>
      </c>
      <c r="D2">
        <v>-2.1259473658230931E-4</v>
      </c>
      <c r="E2">
        <v>0</v>
      </c>
      <c r="F2">
        <v>3.9659335236260057E-2</v>
      </c>
      <c r="G2">
        <v>13708</v>
      </c>
      <c r="H2">
        <v>48.199718706047832</v>
      </c>
    </row>
    <row r="3" spans="1:8" x14ac:dyDescent="0.25">
      <c r="A3" t="s">
        <v>21</v>
      </c>
      <c r="B3">
        <v>5</v>
      </c>
      <c r="C3">
        <v>28440</v>
      </c>
      <c r="D3">
        <v>6.6962752375612192E-4</v>
      </c>
      <c r="E3">
        <v>1.5388598421095521E-3</v>
      </c>
      <c r="F3">
        <v>8.3927640819681654E-2</v>
      </c>
      <c r="G3">
        <v>14580</v>
      </c>
      <c r="H3">
        <v>51.265822784810119</v>
      </c>
    </row>
    <row r="4" spans="1:8" x14ac:dyDescent="0.25">
      <c r="A4" t="s">
        <v>21</v>
      </c>
      <c r="B4">
        <v>15</v>
      </c>
      <c r="C4">
        <v>28439</v>
      </c>
      <c r="D4">
        <v>1.246674209639001E-3</v>
      </c>
      <c r="E4">
        <v>1.8454756845365241E-3</v>
      </c>
      <c r="F4">
        <v>0.1435610485418978</v>
      </c>
      <c r="G4">
        <v>14409</v>
      </c>
      <c r="H4">
        <v>50.666338478849468</v>
      </c>
    </row>
    <row r="5" spans="1:8" x14ac:dyDescent="0.25">
      <c r="A5" t="s">
        <v>21</v>
      </c>
      <c r="B5">
        <v>30</v>
      </c>
      <c r="C5">
        <v>28438</v>
      </c>
      <c r="D5">
        <v>1.1692438767177439E-3</v>
      </c>
      <c r="E5">
        <v>1.618174599138378E-3</v>
      </c>
      <c r="F5">
        <v>0.20405071755116669</v>
      </c>
      <c r="G5">
        <v>14361</v>
      </c>
      <c r="H5">
        <v>50.499331879879037</v>
      </c>
    </row>
    <row r="6" spans="1:8" x14ac:dyDescent="0.25">
      <c r="A6" t="s">
        <v>21</v>
      </c>
      <c r="B6">
        <v>60</v>
      </c>
      <c r="C6">
        <v>28438</v>
      </c>
      <c r="D6">
        <v>4.2330978198728528E-4</v>
      </c>
      <c r="E6">
        <v>2.4424147953117088E-3</v>
      </c>
      <c r="F6">
        <v>0.29598369730455948</v>
      </c>
      <c r="G6">
        <v>14377</v>
      </c>
      <c r="H6">
        <v>50.555594626907663</v>
      </c>
    </row>
    <row r="7" spans="1:8" x14ac:dyDescent="0.25">
      <c r="A7" t="s">
        <v>21</v>
      </c>
      <c r="B7">
        <v>240</v>
      </c>
      <c r="C7">
        <v>28431</v>
      </c>
      <c r="D7">
        <v>-1.340948002300903E-2</v>
      </c>
      <c r="E7">
        <v>1.101069358555584E-3</v>
      </c>
      <c r="F7">
        <v>0.67250666760117639</v>
      </c>
      <c r="G7">
        <v>14257</v>
      </c>
      <c r="H7">
        <v>50.145967429918038</v>
      </c>
    </row>
    <row r="8" spans="1:8" x14ac:dyDescent="0.25">
      <c r="A8" t="s">
        <v>21</v>
      </c>
      <c r="B8">
        <v>1440</v>
      </c>
      <c r="C8">
        <v>28403</v>
      </c>
      <c r="D8">
        <v>-3.4606682698196833E-2</v>
      </c>
      <c r="E8">
        <v>7.7300683677861137E-2</v>
      </c>
      <c r="F8">
        <v>1.798316709253148</v>
      </c>
      <c r="G8">
        <v>14968</v>
      </c>
      <c r="H8">
        <v>52.698658592402211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22</v>
      </c>
      <c r="B2">
        <v>1</v>
      </c>
      <c r="C2">
        <v>5688</v>
      </c>
      <c r="D2">
        <v>1.7754565292213071E-3</v>
      </c>
      <c r="E2">
        <v>0</v>
      </c>
      <c r="F2">
        <v>3.1997617993781598E-2</v>
      </c>
      <c r="G2">
        <v>2791</v>
      </c>
      <c r="H2">
        <v>49.068213783403657</v>
      </c>
    </row>
    <row r="3" spans="1:8" x14ac:dyDescent="0.25">
      <c r="A3" t="s">
        <v>22</v>
      </c>
      <c r="B3">
        <v>5</v>
      </c>
      <c r="C3">
        <v>5688</v>
      </c>
      <c r="D3">
        <v>2.078118848861497E-3</v>
      </c>
      <c r="E3">
        <v>9.0399893171166923E-5</v>
      </c>
      <c r="F3">
        <v>6.9652186807337299E-2</v>
      </c>
      <c r="G3">
        <v>2852</v>
      </c>
      <c r="H3">
        <v>50.140646976090011</v>
      </c>
    </row>
    <row r="4" spans="1:8" x14ac:dyDescent="0.25">
      <c r="A4" t="s">
        <v>22</v>
      </c>
      <c r="B4">
        <v>15</v>
      </c>
      <c r="C4">
        <v>5688</v>
      </c>
      <c r="D4">
        <v>2.3128110715711549E-3</v>
      </c>
      <c r="E4">
        <v>8.6281879418947938E-5</v>
      </c>
      <c r="F4">
        <v>0.1178739171447684</v>
      </c>
      <c r="G4">
        <v>2845</v>
      </c>
      <c r="H4">
        <v>50.017580872011237</v>
      </c>
    </row>
    <row r="5" spans="1:8" x14ac:dyDescent="0.25">
      <c r="A5" t="s">
        <v>22</v>
      </c>
      <c r="B5">
        <v>30</v>
      </c>
      <c r="C5">
        <v>5686</v>
      </c>
      <c r="D5">
        <v>2.8444385158326248E-3</v>
      </c>
      <c r="E5">
        <v>3.588602278825626E-3</v>
      </c>
      <c r="F5">
        <v>0.16791126208361659</v>
      </c>
      <c r="G5">
        <v>2908</v>
      </c>
      <c r="H5">
        <v>51.143158635244447</v>
      </c>
    </row>
    <row r="6" spans="1:8" x14ac:dyDescent="0.25">
      <c r="A6" t="s">
        <v>22</v>
      </c>
      <c r="B6">
        <v>60</v>
      </c>
      <c r="C6">
        <v>5688</v>
      </c>
      <c r="D6">
        <v>8.0966041972818665E-3</v>
      </c>
      <c r="E6">
        <v>2.920093245362132E-3</v>
      </c>
      <c r="F6">
        <v>0.2454270789387118</v>
      </c>
      <c r="G6">
        <v>2898</v>
      </c>
      <c r="H6">
        <v>50.949367088607602</v>
      </c>
    </row>
    <row r="7" spans="1:8" x14ac:dyDescent="0.25">
      <c r="A7" t="s">
        <v>22</v>
      </c>
      <c r="B7">
        <v>240</v>
      </c>
      <c r="C7">
        <v>5685</v>
      </c>
      <c r="D7">
        <v>1.381593261822963E-2</v>
      </c>
      <c r="E7">
        <v>1.6325007579465201E-2</v>
      </c>
      <c r="F7">
        <v>0.57752317138286113</v>
      </c>
      <c r="G7">
        <v>2968</v>
      </c>
      <c r="H7">
        <v>52.207563764291997</v>
      </c>
    </row>
    <row r="8" spans="1:8" x14ac:dyDescent="0.25">
      <c r="A8" t="s">
        <v>22</v>
      </c>
      <c r="B8">
        <v>1440</v>
      </c>
      <c r="C8">
        <v>5684</v>
      </c>
      <c r="D8">
        <v>-8.0612890116051866E-3</v>
      </c>
      <c r="E8">
        <v>0.1182809678932584</v>
      </c>
      <c r="F8">
        <v>1.6896711824329329</v>
      </c>
      <c r="G8">
        <v>3112</v>
      </c>
      <c r="H8">
        <v>54.750175932441948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L11" sqref="L11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23</v>
      </c>
      <c r="B2">
        <v>1</v>
      </c>
      <c r="C2">
        <v>5688</v>
      </c>
      <c r="D2">
        <v>-1.1044137435847489E-3</v>
      </c>
      <c r="E2">
        <v>0</v>
      </c>
      <c r="F2">
        <v>3.0200647503730148E-2</v>
      </c>
      <c r="G2">
        <v>2577</v>
      </c>
      <c r="H2">
        <v>45.305907172995781</v>
      </c>
    </row>
    <row r="3" spans="1:8" x14ac:dyDescent="0.25">
      <c r="A3" t="s">
        <v>23</v>
      </c>
      <c r="B3">
        <v>5</v>
      </c>
      <c r="C3">
        <v>5688</v>
      </c>
      <c r="D3">
        <v>3.56184397306918E-4</v>
      </c>
      <c r="E3">
        <v>1.2912590648395119E-3</v>
      </c>
      <c r="F3">
        <v>6.6333262287392003E-2</v>
      </c>
      <c r="G3">
        <v>2925</v>
      </c>
      <c r="H3">
        <v>51.424050632911388</v>
      </c>
    </row>
    <row r="4" spans="1:8" x14ac:dyDescent="0.25">
      <c r="A4" t="s">
        <v>23</v>
      </c>
      <c r="B4">
        <v>15</v>
      </c>
      <c r="C4">
        <v>5688</v>
      </c>
      <c r="D4">
        <v>3.1276234316338922E-3</v>
      </c>
      <c r="E4">
        <v>2.2034625206668319E-3</v>
      </c>
      <c r="F4">
        <v>0.1140723290633026</v>
      </c>
      <c r="G4">
        <v>2899</v>
      </c>
      <c r="H4">
        <v>50.966947960618853</v>
      </c>
    </row>
    <row r="5" spans="1:8" x14ac:dyDescent="0.25">
      <c r="A5" t="s">
        <v>23</v>
      </c>
      <c r="B5">
        <v>30</v>
      </c>
      <c r="C5">
        <v>5688</v>
      </c>
      <c r="D5">
        <v>7.087238291483805E-3</v>
      </c>
      <c r="E5">
        <v>5.3507227010474168E-3</v>
      </c>
      <c r="F5">
        <v>0.1601277891976404</v>
      </c>
      <c r="G5">
        <v>2943</v>
      </c>
      <c r="H5">
        <v>51.74050632911392</v>
      </c>
    </row>
    <row r="6" spans="1:8" x14ac:dyDescent="0.25">
      <c r="A6" t="s">
        <v>23</v>
      </c>
      <c r="B6">
        <v>60</v>
      </c>
      <c r="C6">
        <v>5688</v>
      </c>
      <c r="D6">
        <v>8.8870991914765662E-3</v>
      </c>
      <c r="E6">
        <v>5.9185768386038617E-3</v>
      </c>
      <c r="F6">
        <v>0.23003312422533079</v>
      </c>
      <c r="G6">
        <v>2934</v>
      </c>
      <c r="H6">
        <v>51.582278481012658</v>
      </c>
    </row>
    <row r="7" spans="1:8" x14ac:dyDescent="0.25">
      <c r="A7" t="s">
        <v>23</v>
      </c>
      <c r="B7">
        <v>240</v>
      </c>
      <c r="C7">
        <v>5686</v>
      </c>
      <c r="D7">
        <v>-8.9399282567790578E-3</v>
      </c>
      <c r="E7">
        <v>4.9101664531536748E-3</v>
      </c>
      <c r="F7">
        <v>0.56381396474350798</v>
      </c>
      <c r="G7">
        <v>2882</v>
      </c>
      <c r="H7">
        <v>50.685895181146677</v>
      </c>
    </row>
    <row r="8" spans="1:8" x14ac:dyDescent="0.25">
      <c r="A8" t="s">
        <v>23</v>
      </c>
      <c r="B8">
        <v>1440</v>
      </c>
      <c r="C8">
        <v>5685</v>
      </c>
      <c r="D8">
        <v>-4.0772774128125598E-2</v>
      </c>
      <c r="E8">
        <v>0.1080247052500871</v>
      </c>
      <c r="F8">
        <v>1.6591959094421691</v>
      </c>
      <c r="G8">
        <v>3102</v>
      </c>
      <c r="H8">
        <v>54.5646437994723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selection activeCell="I56" sqref="I56"/>
    </sheetView>
  </sheetViews>
  <sheetFormatPr defaultRowHeight="15" x14ac:dyDescent="0.25"/>
  <cols>
    <col min="1" max="1" width="11.85546875" customWidth="1"/>
    <col min="2" max="2" width="18.28515625" customWidth="1"/>
    <col min="3" max="3" width="20.7109375" customWidth="1"/>
    <col min="4" max="4" width="2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-1.5946788085908131E-2</v>
      </c>
      <c r="D2">
        <v>-1.8497184878037198E-2</v>
      </c>
    </row>
    <row r="3" spans="1:4" x14ac:dyDescent="0.25">
      <c r="A3" t="s">
        <v>4</v>
      </c>
      <c r="B3">
        <v>5</v>
      </c>
      <c r="C3">
        <v>-1.4963096911989609E-2</v>
      </c>
      <c r="D3">
        <v>-2.141049344743641E-2</v>
      </c>
    </row>
    <row r="4" spans="1:4" x14ac:dyDescent="0.25">
      <c r="A4" t="s">
        <v>4</v>
      </c>
      <c r="B4">
        <v>15</v>
      </c>
      <c r="C4">
        <v>-1.2645580726855111E-2</v>
      </c>
      <c r="D4">
        <v>-1.4427461530739739E-2</v>
      </c>
    </row>
    <row r="5" spans="1:4" x14ac:dyDescent="0.25">
      <c r="A5" t="s">
        <v>4</v>
      </c>
      <c r="B5">
        <v>30</v>
      </c>
      <c r="C5">
        <v>-9.4264026175547473E-3</v>
      </c>
      <c r="D5">
        <v>-1.431678697890903E-2</v>
      </c>
    </row>
    <row r="6" spans="1:4" x14ac:dyDescent="0.25">
      <c r="A6" t="s">
        <v>4</v>
      </c>
      <c r="B6">
        <v>60</v>
      </c>
      <c r="C6">
        <v>-1.1100949805860219E-2</v>
      </c>
      <c r="D6">
        <v>-1.209292199567207E-2</v>
      </c>
    </row>
    <row r="7" spans="1:4" x14ac:dyDescent="0.25">
      <c r="A7" t="s">
        <v>5</v>
      </c>
      <c r="B7">
        <v>1</v>
      </c>
      <c r="C7">
        <v>1.950028239839178E-4</v>
      </c>
      <c r="D7">
        <v>-1.149160874217357E-2</v>
      </c>
    </row>
    <row r="8" spans="1:4" x14ac:dyDescent="0.25">
      <c r="A8" t="s">
        <v>5</v>
      </c>
      <c r="B8">
        <v>5</v>
      </c>
      <c r="C8">
        <v>-5.2443843500294572E-3</v>
      </c>
      <c r="D8">
        <v>-1.610324287118604E-2</v>
      </c>
    </row>
    <row r="9" spans="1:4" x14ac:dyDescent="0.25">
      <c r="A9" t="s">
        <v>5</v>
      </c>
      <c r="B9">
        <v>15</v>
      </c>
      <c r="C9">
        <v>-3.757851489537182E-3</v>
      </c>
      <c r="D9">
        <v>-1.0441498730824089E-2</v>
      </c>
    </row>
    <row r="10" spans="1:4" x14ac:dyDescent="0.25">
      <c r="A10" t="s">
        <v>5</v>
      </c>
      <c r="B10">
        <v>30</v>
      </c>
      <c r="C10">
        <v>-5.1459420320903318E-3</v>
      </c>
      <c r="D10">
        <v>-1.0513145651202181E-2</v>
      </c>
    </row>
    <row r="11" spans="1:4" x14ac:dyDescent="0.25">
      <c r="A11" t="s">
        <v>5</v>
      </c>
      <c r="B11">
        <v>60</v>
      </c>
      <c r="C11">
        <v>-5.5843110378697063E-3</v>
      </c>
      <c r="D11">
        <v>-9.0612056019440373E-3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1"/>
  <sheetViews>
    <sheetView topLeftCell="B1" workbookViewId="0">
      <selection activeCell="J50" sqref="J50"/>
    </sheetView>
  </sheetViews>
  <sheetFormatPr defaultRowHeight="15" x14ac:dyDescent="0.25"/>
  <cols>
    <col min="1" max="1" width="21.42578125" customWidth="1"/>
    <col min="2" max="2" width="14.28515625" customWidth="1"/>
    <col min="3" max="3" width="17.85546875" customWidth="1"/>
    <col min="4" max="4" width="21.5703125" customWidth="1"/>
    <col min="5" max="5" width="22.85546875" customWidth="1"/>
    <col min="6" max="6" width="22.5703125" customWidth="1"/>
    <col min="7" max="7" width="20.28515625" customWidth="1"/>
    <col min="8" max="8" width="22.42578125" customWidth="1"/>
    <col min="9" max="9" width="23.85546875" customWidth="1"/>
    <col min="10" max="10" width="24" customWidth="1"/>
    <col min="11" max="11" width="19" customWidth="1"/>
    <col min="12" max="12" width="24.5703125" customWidth="1"/>
    <col min="13" max="13" width="19.85546875" customWidth="1"/>
    <col min="14" max="14" width="27.85546875" customWidth="1"/>
    <col min="15" max="15" width="23.140625" customWidth="1"/>
    <col min="16" max="16" width="27.7109375" customWidth="1"/>
  </cols>
  <sheetData>
    <row r="1" spans="1:12" x14ac:dyDescent="0.25">
      <c r="A1" t="s">
        <v>24</v>
      </c>
      <c r="B1" t="s">
        <v>0</v>
      </c>
      <c r="C1" t="s">
        <v>1</v>
      </c>
      <c r="D1" t="s">
        <v>45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B2" t="s">
        <v>8</v>
      </c>
      <c r="C2">
        <v>1</v>
      </c>
      <c r="D2" s="7">
        <v>-1.5400326384821591E-3</v>
      </c>
      <c r="E2" s="7">
        <v>-2.4674266001047882</v>
      </c>
      <c r="F2" s="7">
        <v>1.3608811865588259E-2</v>
      </c>
      <c r="G2" s="7">
        <v>-2.7633348863840969E-3</v>
      </c>
      <c r="H2" s="7">
        <v>-3.1673039058022022E-4</v>
      </c>
      <c r="I2" s="7" t="s">
        <v>39</v>
      </c>
      <c r="J2" s="7">
        <v>0.4238113156749384</v>
      </c>
      <c r="K2" t="b">
        <v>1</v>
      </c>
      <c r="L2" t="b">
        <v>0</v>
      </c>
    </row>
    <row r="3" spans="1:12" x14ac:dyDescent="0.25">
      <c r="A3" t="s">
        <v>37</v>
      </c>
      <c r="B3" t="s">
        <v>9</v>
      </c>
      <c r="C3">
        <v>1</v>
      </c>
      <c r="D3" s="7">
        <v>2.091223196685327E-3</v>
      </c>
      <c r="E3" s="7">
        <v>3.3532366992472991</v>
      </c>
      <c r="F3" s="7">
        <v>7.9872368441324623E-4</v>
      </c>
      <c r="G3" s="7">
        <v>8.6890502569012028E-4</v>
      </c>
      <c r="H3" s="7">
        <v>3.313541367680535E-3</v>
      </c>
      <c r="I3" s="7" t="s">
        <v>39</v>
      </c>
      <c r="J3" s="7">
        <v>2.9578777229426711E-2</v>
      </c>
      <c r="K3" t="b">
        <v>1</v>
      </c>
      <c r="L3" t="b">
        <v>1</v>
      </c>
    </row>
    <row r="4" spans="1:12" x14ac:dyDescent="0.25">
      <c r="A4" t="s">
        <v>37</v>
      </c>
      <c r="B4" t="s">
        <v>8</v>
      </c>
      <c r="C4">
        <v>5</v>
      </c>
      <c r="D4" s="7">
        <v>-4.3518906788852308E-3</v>
      </c>
      <c r="E4" s="7">
        <v>-2.9044727925138449</v>
      </c>
      <c r="F4" s="7">
        <v>3.6787217516137719E-3</v>
      </c>
      <c r="G4" s="7">
        <v>-7.2885850825150974E-3</v>
      </c>
      <c r="H4" s="7">
        <v>-1.415196275255365E-3</v>
      </c>
      <c r="I4" s="7" t="s">
        <v>39</v>
      </c>
      <c r="J4" s="7">
        <v>0.13243398305809581</v>
      </c>
      <c r="K4" t="b">
        <v>1</v>
      </c>
      <c r="L4" t="b">
        <v>0</v>
      </c>
    </row>
    <row r="5" spans="1:12" x14ac:dyDescent="0.25">
      <c r="A5" t="s">
        <v>37</v>
      </c>
      <c r="B5" t="s">
        <v>9</v>
      </c>
      <c r="C5">
        <v>5</v>
      </c>
      <c r="D5" s="7">
        <v>4.2438949524630579E-3</v>
      </c>
      <c r="E5" s="7">
        <v>2.392323063698865</v>
      </c>
      <c r="F5" s="7">
        <v>1.674209832458513E-2</v>
      </c>
      <c r="G5" s="7">
        <v>7.6698943446904845E-4</v>
      </c>
      <c r="H5" s="7">
        <v>7.7208004704570673E-3</v>
      </c>
      <c r="I5" s="7" t="s">
        <v>39</v>
      </c>
      <c r="J5" s="7">
        <v>0.48552085141296869</v>
      </c>
      <c r="K5" t="b">
        <v>1</v>
      </c>
      <c r="L5" t="b">
        <v>0</v>
      </c>
    </row>
    <row r="6" spans="1:12" x14ac:dyDescent="0.25">
      <c r="A6" t="s">
        <v>37</v>
      </c>
      <c r="B6" t="s">
        <v>8</v>
      </c>
      <c r="C6">
        <v>15</v>
      </c>
      <c r="D6" s="7">
        <v>-4.0741993497698638E-3</v>
      </c>
      <c r="E6" s="7">
        <v>-1.2741127931920051</v>
      </c>
      <c r="F6" s="7">
        <v>0.20262344514812611</v>
      </c>
      <c r="G6" s="7">
        <v>-1.034152829745282E-2</v>
      </c>
      <c r="H6" s="7">
        <v>2.193129597913093E-3</v>
      </c>
      <c r="I6" s="7" t="s">
        <v>39</v>
      </c>
      <c r="J6" s="7">
        <v>1</v>
      </c>
      <c r="K6" t="b">
        <v>0</v>
      </c>
      <c r="L6" t="b">
        <v>0</v>
      </c>
    </row>
    <row r="7" spans="1:12" x14ac:dyDescent="0.25">
      <c r="A7" t="s">
        <v>37</v>
      </c>
      <c r="B7" t="s">
        <v>9</v>
      </c>
      <c r="C7">
        <v>15</v>
      </c>
      <c r="D7" s="7">
        <v>7.3941477194831816E-3</v>
      </c>
      <c r="E7" s="7">
        <v>2.1246641104264641</v>
      </c>
      <c r="F7" s="7">
        <v>3.3614650189094437E-2</v>
      </c>
      <c r="G7" s="7">
        <v>5.7318098152331094E-4</v>
      </c>
      <c r="H7" s="7">
        <v>1.421511445744305E-2</v>
      </c>
      <c r="I7" s="7" t="s">
        <v>39</v>
      </c>
      <c r="J7" s="7">
        <v>0.84848114908902106</v>
      </c>
      <c r="K7" t="b">
        <v>1</v>
      </c>
      <c r="L7" t="b">
        <v>0</v>
      </c>
    </row>
    <row r="8" spans="1:12" x14ac:dyDescent="0.25">
      <c r="A8" t="s">
        <v>37</v>
      </c>
      <c r="B8" t="s">
        <v>8</v>
      </c>
      <c r="C8">
        <v>30</v>
      </c>
      <c r="D8" s="7">
        <v>-3.9566250123335396E-3</v>
      </c>
      <c r="E8" s="7">
        <v>-0.78090065675170328</v>
      </c>
      <c r="F8" s="7">
        <v>0.43486092578861463</v>
      </c>
      <c r="G8" s="7">
        <v>-1.3887264021861009E-2</v>
      </c>
      <c r="H8" s="7">
        <v>5.9740139971939292E-3</v>
      </c>
      <c r="I8" s="7" t="s">
        <v>39</v>
      </c>
      <c r="J8" s="7">
        <v>1</v>
      </c>
      <c r="K8" t="b">
        <v>0</v>
      </c>
      <c r="L8" t="b">
        <v>0</v>
      </c>
    </row>
    <row r="9" spans="1:12" x14ac:dyDescent="0.25">
      <c r="A9" t="s">
        <v>37</v>
      </c>
      <c r="B9" t="s">
        <v>9</v>
      </c>
      <c r="C9">
        <v>30</v>
      </c>
      <c r="D9" s="7">
        <v>1.1726508245809579E-2</v>
      </c>
      <c r="E9" s="7">
        <v>2.0243066355937609</v>
      </c>
      <c r="F9" s="7">
        <v>4.2938611311488198E-2</v>
      </c>
      <c r="G9" s="7">
        <v>3.7272743905087009E-4</v>
      </c>
      <c r="H9" s="7">
        <v>2.308028905256829E-2</v>
      </c>
      <c r="I9" s="7" t="s">
        <v>39</v>
      </c>
      <c r="J9" s="7">
        <v>0.98758806016422873</v>
      </c>
      <c r="K9" t="b">
        <v>1</v>
      </c>
      <c r="L9" t="b">
        <v>0</v>
      </c>
    </row>
    <row r="10" spans="1:12" x14ac:dyDescent="0.25">
      <c r="A10" t="s">
        <v>37</v>
      </c>
      <c r="B10" t="s">
        <v>8</v>
      </c>
      <c r="C10">
        <v>60</v>
      </c>
      <c r="D10" s="7">
        <v>-1.782724746311368E-3</v>
      </c>
      <c r="E10" s="7">
        <v>-0.210483472443391</v>
      </c>
      <c r="F10" s="7">
        <v>0.8332903498166796</v>
      </c>
      <c r="G10" s="7">
        <v>-1.8382965404438619E-2</v>
      </c>
      <c r="H10" s="7">
        <v>1.481751591181588E-2</v>
      </c>
      <c r="I10" s="7" t="s">
        <v>39</v>
      </c>
      <c r="J10" s="7">
        <v>1</v>
      </c>
      <c r="K10" t="b">
        <v>0</v>
      </c>
      <c r="L10" t="b">
        <v>0</v>
      </c>
    </row>
    <row r="11" spans="1:12" x14ac:dyDescent="0.25">
      <c r="A11" t="s">
        <v>37</v>
      </c>
      <c r="B11" t="s">
        <v>9</v>
      </c>
      <c r="C11">
        <v>60</v>
      </c>
      <c r="D11" s="7">
        <v>1.702593739155811E-2</v>
      </c>
      <c r="E11" s="7">
        <v>1.9414391666452919</v>
      </c>
      <c r="F11" s="7">
        <v>5.2205031467673087E-2</v>
      </c>
      <c r="G11" s="7">
        <v>-1.6245803375401771E-4</v>
      </c>
      <c r="H11" s="7">
        <v>3.4214332816870252E-2</v>
      </c>
      <c r="I11" s="7" t="s">
        <v>39</v>
      </c>
      <c r="J11" s="7">
        <v>1</v>
      </c>
      <c r="K11" t="b">
        <v>0</v>
      </c>
      <c r="L11" t="b">
        <v>0</v>
      </c>
    </row>
    <row r="12" spans="1:12" x14ac:dyDescent="0.25">
      <c r="A12" t="s">
        <v>37</v>
      </c>
      <c r="B12" t="s">
        <v>10</v>
      </c>
      <c r="C12">
        <v>1</v>
      </c>
      <c r="D12" s="7">
        <v>-2.6682999858485329E-3</v>
      </c>
      <c r="E12" s="7">
        <v>-1.4332914859241841</v>
      </c>
      <c r="F12" s="7">
        <v>0.15177455410964899</v>
      </c>
      <c r="G12" s="7">
        <v>-6.3170845656576524E-3</v>
      </c>
      <c r="H12" s="7">
        <v>9.8048459396058449E-4</v>
      </c>
      <c r="I12" s="7" t="s">
        <v>39</v>
      </c>
      <c r="J12" s="7">
        <v>1</v>
      </c>
      <c r="K12" t="b">
        <v>0</v>
      </c>
      <c r="L12" t="b">
        <v>0</v>
      </c>
    </row>
    <row r="13" spans="1:12" x14ac:dyDescent="0.25">
      <c r="A13" t="s">
        <v>37</v>
      </c>
      <c r="B13" t="s">
        <v>11</v>
      </c>
      <c r="C13">
        <v>1</v>
      </c>
      <c r="D13" s="7">
        <v>4.7529456595325663E-3</v>
      </c>
      <c r="E13" s="7">
        <v>2.3455968083169401</v>
      </c>
      <c r="F13" s="7">
        <v>1.8996644625432001E-2</v>
      </c>
      <c r="G13" s="7">
        <v>7.8141812328727089E-4</v>
      </c>
      <c r="H13" s="7">
        <v>8.7244731957778626E-3</v>
      </c>
      <c r="I13" s="7" t="s">
        <v>39</v>
      </c>
      <c r="J13" s="7">
        <v>0.53190604951209619</v>
      </c>
      <c r="K13" t="b">
        <v>1</v>
      </c>
      <c r="L13" t="b">
        <v>0</v>
      </c>
    </row>
    <row r="14" spans="1:12" x14ac:dyDescent="0.25">
      <c r="A14" t="s">
        <v>37</v>
      </c>
      <c r="B14" t="s">
        <v>10</v>
      </c>
      <c r="C14">
        <v>5</v>
      </c>
      <c r="D14" s="7">
        <v>-6.2840009421830639E-3</v>
      </c>
      <c r="E14" s="7">
        <v>-1.6513667811257049</v>
      </c>
      <c r="F14" s="7">
        <v>9.8663703596176336E-2</v>
      </c>
      <c r="G14" s="7">
        <v>-1.374231708749072E-2</v>
      </c>
      <c r="H14" s="7">
        <v>1.174315203124589E-3</v>
      </c>
      <c r="I14" s="7" t="s">
        <v>39</v>
      </c>
      <c r="J14" s="7">
        <v>1</v>
      </c>
      <c r="K14" t="b">
        <v>0</v>
      </c>
      <c r="L14" t="b">
        <v>0</v>
      </c>
    </row>
    <row r="15" spans="1:12" x14ac:dyDescent="0.25">
      <c r="A15" t="s">
        <v>37</v>
      </c>
      <c r="B15" t="s">
        <v>11</v>
      </c>
      <c r="C15">
        <v>5</v>
      </c>
      <c r="D15" s="7">
        <v>9.7467012697921053E-3</v>
      </c>
      <c r="E15" s="7">
        <v>1.618415318876679</v>
      </c>
      <c r="F15" s="7">
        <v>0.10557312284528959</v>
      </c>
      <c r="G15" s="7">
        <v>-2.0569335784757729E-3</v>
      </c>
      <c r="H15" s="7">
        <v>2.1550336118059982E-2</v>
      </c>
      <c r="I15" s="7" t="s">
        <v>39</v>
      </c>
      <c r="J15" s="7">
        <v>1</v>
      </c>
      <c r="K15" t="b">
        <v>0</v>
      </c>
      <c r="L15" t="b">
        <v>0</v>
      </c>
    </row>
    <row r="16" spans="1:12" x14ac:dyDescent="0.25">
      <c r="A16" t="s">
        <v>37</v>
      </c>
      <c r="B16" t="s">
        <v>10</v>
      </c>
      <c r="C16">
        <v>15</v>
      </c>
      <c r="D16" s="7">
        <v>-9.4443021633911217E-3</v>
      </c>
      <c r="E16" s="7">
        <v>-1.2306929806228879</v>
      </c>
      <c r="F16" s="7">
        <v>0.21843771440225379</v>
      </c>
      <c r="G16" s="7">
        <v>-2.4485008814689031E-2</v>
      </c>
      <c r="H16" s="7">
        <v>5.5964044879067872E-3</v>
      </c>
      <c r="I16" s="7" t="s">
        <v>39</v>
      </c>
      <c r="J16" s="7">
        <v>1</v>
      </c>
      <c r="K16" t="b">
        <v>0</v>
      </c>
      <c r="L16" t="b">
        <v>0</v>
      </c>
    </row>
    <row r="17" spans="1:12" x14ac:dyDescent="0.25">
      <c r="A17" t="s">
        <v>37</v>
      </c>
      <c r="B17" t="s">
        <v>11</v>
      </c>
      <c r="C17">
        <v>15</v>
      </c>
      <c r="D17" s="7">
        <v>1.8352779531499629E-2</v>
      </c>
      <c r="E17" s="7">
        <v>1.9211537948488659</v>
      </c>
      <c r="F17" s="7">
        <v>5.4712321317575127E-2</v>
      </c>
      <c r="G17" s="7">
        <v>-3.7075368816794421E-4</v>
      </c>
      <c r="H17" s="7">
        <v>3.7076312751167212E-2</v>
      </c>
      <c r="I17" s="7" t="s">
        <v>39</v>
      </c>
      <c r="J17" s="7">
        <v>1</v>
      </c>
      <c r="K17" t="b">
        <v>0</v>
      </c>
      <c r="L17" t="b">
        <v>0</v>
      </c>
    </row>
    <row r="18" spans="1:12" x14ac:dyDescent="0.25">
      <c r="A18" t="s">
        <v>37</v>
      </c>
      <c r="B18" t="s">
        <v>10</v>
      </c>
      <c r="C18">
        <v>30</v>
      </c>
      <c r="D18" s="7">
        <v>-2.5022239741123442E-3</v>
      </c>
      <c r="E18" s="7">
        <v>-0.21704380726925071</v>
      </c>
      <c r="F18" s="7">
        <v>0.82817420529965569</v>
      </c>
      <c r="G18" s="7">
        <v>-2.5097979790489802E-2</v>
      </c>
      <c r="H18" s="7">
        <v>2.009353184226511E-2</v>
      </c>
      <c r="I18" s="7" t="s">
        <v>39</v>
      </c>
      <c r="J18" s="7">
        <v>1</v>
      </c>
      <c r="K18" t="b">
        <v>0</v>
      </c>
      <c r="L18" t="b">
        <v>0</v>
      </c>
    </row>
    <row r="19" spans="1:12" x14ac:dyDescent="0.25">
      <c r="A19" t="s">
        <v>37</v>
      </c>
      <c r="B19" t="s">
        <v>11</v>
      </c>
      <c r="C19">
        <v>30</v>
      </c>
      <c r="D19" s="7">
        <v>2.5724864712720251E-2</v>
      </c>
      <c r="E19" s="7">
        <v>1.7501804141166399</v>
      </c>
      <c r="F19" s="7">
        <v>8.0087187349220629E-2</v>
      </c>
      <c r="G19" s="7">
        <v>-3.083484379419008E-3</v>
      </c>
      <c r="H19" s="7">
        <v>5.4533213804859509E-2</v>
      </c>
      <c r="I19" s="7" t="s">
        <v>39</v>
      </c>
      <c r="J19" s="7">
        <v>1</v>
      </c>
      <c r="K19" t="b">
        <v>0</v>
      </c>
      <c r="L19" t="b">
        <v>0</v>
      </c>
    </row>
    <row r="20" spans="1:12" x14ac:dyDescent="0.25">
      <c r="A20" t="s">
        <v>37</v>
      </c>
      <c r="B20" t="s">
        <v>10</v>
      </c>
      <c r="C20">
        <v>60</v>
      </c>
      <c r="D20" s="7">
        <v>1.0804201525348139E-2</v>
      </c>
      <c r="E20" s="7">
        <v>0.59459207620568011</v>
      </c>
      <c r="F20" s="7">
        <v>0.55211617795709578</v>
      </c>
      <c r="G20" s="7">
        <v>-2.4809871918963888E-2</v>
      </c>
      <c r="H20" s="7">
        <v>4.6418274969660167E-2</v>
      </c>
      <c r="I20" s="7" t="s">
        <v>41</v>
      </c>
      <c r="J20" s="7">
        <v>1</v>
      </c>
      <c r="K20" t="b">
        <v>0</v>
      </c>
      <c r="L20" t="b">
        <v>0</v>
      </c>
    </row>
    <row r="21" spans="1:12" x14ac:dyDescent="0.25">
      <c r="A21" t="s">
        <v>37</v>
      </c>
      <c r="B21" t="s">
        <v>11</v>
      </c>
      <c r="C21">
        <v>60</v>
      </c>
      <c r="D21" s="7">
        <v>4.2420309218614408E-2</v>
      </c>
      <c r="E21" s="7">
        <v>2.1365588405501308</v>
      </c>
      <c r="F21" s="7">
        <v>3.2633890349577727E-2</v>
      </c>
      <c r="G21" s="7">
        <v>3.5062027107267829E-3</v>
      </c>
      <c r="H21" s="7">
        <v>8.1334415726502046E-2</v>
      </c>
      <c r="I21" s="7" t="s">
        <v>39</v>
      </c>
      <c r="J21" s="7">
        <v>0.84848114908902106</v>
      </c>
      <c r="K21" t="b">
        <v>1</v>
      </c>
      <c r="L21" t="b">
        <v>0</v>
      </c>
    </row>
    <row r="22" spans="1:12" x14ac:dyDescent="0.25">
      <c r="A22" t="s">
        <v>42</v>
      </c>
      <c r="B22" t="s">
        <v>20</v>
      </c>
      <c r="C22">
        <v>1</v>
      </c>
      <c r="D22" s="7">
        <v>9.9482921114275868E-4</v>
      </c>
      <c r="E22" s="7">
        <v>3.9769419247930449</v>
      </c>
      <c r="F22" s="7">
        <v>6.980720485761933E-5</v>
      </c>
      <c r="G22" s="7">
        <v>5.0454560593027711E-4</v>
      </c>
      <c r="H22" s="7">
        <v>1.4851128163552399E-3</v>
      </c>
      <c r="I22" s="7" t="s">
        <v>41</v>
      </c>
      <c r="J22" s="7">
        <v>2.7224809894471542E-3</v>
      </c>
      <c r="K22" t="b">
        <v>1</v>
      </c>
      <c r="L22" t="b">
        <v>1</v>
      </c>
    </row>
    <row r="23" spans="1:12" x14ac:dyDescent="0.25">
      <c r="A23" t="s">
        <v>42</v>
      </c>
      <c r="B23" t="s">
        <v>21</v>
      </c>
      <c r="C23">
        <v>1</v>
      </c>
      <c r="D23" s="7">
        <v>-8.4423151582325442E-5</v>
      </c>
      <c r="E23" s="7">
        <v>-0.33558895760587659</v>
      </c>
      <c r="F23" s="7">
        <v>0.737180852131051</v>
      </c>
      <c r="G23" s="7">
        <v>-5.7748566991777986E-4</v>
      </c>
      <c r="H23" s="7">
        <v>4.0863936675312893E-4</v>
      </c>
      <c r="I23" s="7" t="s">
        <v>41</v>
      </c>
      <c r="J23" s="7">
        <v>1</v>
      </c>
      <c r="K23" t="b">
        <v>0</v>
      </c>
      <c r="L23" t="b">
        <v>0</v>
      </c>
    </row>
    <row r="24" spans="1:12" x14ac:dyDescent="0.25">
      <c r="A24" t="s">
        <v>42</v>
      </c>
      <c r="B24" t="s">
        <v>20</v>
      </c>
      <c r="C24">
        <v>5</v>
      </c>
      <c r="D24" s="7">
        <v>1.288396308409217E-3</v>
      </c>
      <c r="E24" s="7">
        <v>2.1011061320991722</v>
      </c>
      <c r="F24" s="7">
        <v>3.5631650735144391E-2</v>
      </c>
      <c r="G24" s="7">
        <v>8.6548232427667267E-5</v>
      </c>
      <c r="H24" s="7">
        <v>2.490244384390767E-3</v>
      </c>
      <c r="I24" s="7" t="s">
        <v>41</v>
      </c>
      <c r="J24" s="7">
        <v>0.85515961764346538</v>
      </c>
      <c r="K24" t="b">
        <v>1</v>
      </c>
      <c r="L24" t="b">
        <v>0</v>
      </c>
    </row>
    <row r="25" spans="1:12" x14ac:dyDescent="0.25">
      <c r="A25" t="s">
        <v>42</v>
      </c>
      <c r="B25" t="s">
        <v>21</v>
      </c>
      <c r="C25">
        <v>5</v>
      </c>
      <c r="D25" s="7">
        <v>1.2100949313974131E-3</v>
      </c>
      <c r="E25" s="7">
        <v>2.0227556563377371</v>
      </c>
      <c r="F25" s="7">
        <v>4.3098345577437393E-2</v>
      </c>
      <c r="G25" s="7">
        <v>3.7564539017983373E-5</v>
      </c>
      <c r="H25" s="7">
        <v>2.3826253237768432E-3</v>
      </c>
      <c r="I25" s="7" t="s">
        <v>39</v>
      </c>
      <c r="J25" s="7">
        <v>0.98758806016422873</v>
      </c>
      <c r="K25" t="b">
        <v>1</v>
      </c>
      <c r="L25" t="b">
        <v>0</v>
      </c>
    </row>
    <row r="26" spans="1:12" x14ac:dyDescent="0.25">
      <c r="A26" t="s">
        <v>42</v>
      </c>
      <c r="B26" t="s">
        <v>20</v>
      </c>
      <c r="C26">
        <v>15</v>
      </c>
      <c r="D26" s="7">
        <v>2.1122052565789181E-3</v>
      </c>
      <c r="E26" s="7">
        <v>1.650325343819065</v>
      </c>
      <c r="F26" s="7">
        <v>9.887641140363454E-2</v>
      </c>
      <c r="G26" s="7">
        <v>-3.962978372842145E-4</v>
      </c>
      <c r="H26" s="7">
        <v>4.6207083504420507E-3</v>
      </c>
      <c r="I26" s="7" t="s">
        <v>41</v>
      </c>
      <c r="J26" s="7">
        <v>1</v>
      </c>
      <c r="K26" t="b">
        <v>0</v>
      </c>
      <c r="L26" t="b">
        <v>0</v>
      </c>
    </row>
    <row r="27" spans="1:12" x14ac:dyDescent="0.25">
      <c r="A27" t="s">
        <v>42</v>
      </c>
      <c r="B27" t="s">
        <v>21</v>
      </c>
      <c r="C27">
        <v>15</v>
      </c>
      <c r="D27" s="7">
        <v>2.743391524180809E-3</v>
      </c>
      <c r="E27" s="7">
        <v>2.1865103866104572</v>
      </c>
      <c r="F27" s="7">
        <v>2.877828562945443E-2</v>
      </c>
      <c r="G27" s="7">
        <v>2.8424538162705138E-4</v>
      </c>
      <c r="H27" s="7">
        <v>5.2025376667345653E-3</v>
      </c>
      <c r="I27" s="7" t="s">
        <v>39</v>
      </c>
      <c r="J27" s="7">
        <v>0.77701371199526947</v>
      </c>
      <c r="K27" t="b">
        <v>1</v>
      </c>
      <c r="L27" t="b">
        <v>0</v>
      </c>
    </row>
    <row r="28" spans="1:12" x14ac:dyDescent="0.25">
      <c r="A28" t="s">
        <v>42</v>
      </c>
      <c r="B28" t="s">
        <v>20</v>
      </c>
      <c r="C28">
        <v>30</v>
      </c>
      <c r="D28" s="7">
        <v>2.059978182058267E-3</v>
      </c>
      <c r="E28" s="7">
        <v>0.93961687775518787</v>
      </c>
      <c r="F28" s="7">
        <v>0.34741411577959408</v>
      </c>
      <c r="G28" s="7">
        <v>-2.2369678832554331E-3</v>
      </c>
      <c r="H28" s="7">
        <v>6.3569242473719666E-3</v>
      </c>
      <c r="I28" s="7" t="s">
        <v>41</v>
      </c>
      <c r="J28" s="7">
        <v>1</v>
      </c>
      <c r="K28" t="b">
        <v>0</v>
      </c>
      <c r="L28" t="b">
        <v>0</v>
      </c>
    </row>
    <row r="29" spans="1:12" x14ac:dyDescent="0.25">
      <c r="A29" t="s">
        <v>42</v>
      </c>
      <c r="B29" t="s">
        <v>21</v>
      </c>
      <c r="C29">
        <v>30</v>
      </c>
      <c r="D29" s="7">
        <v>3.9848872660607319E-3</v>
      </c>
      <c r="E29" s="7">
        <v>1.8692821122683529</v>
      </c>
      <c r="F29" s="7">
        <v>6.1583575440219578E-2</v>
      </c>
      <c r="G29" s="7">
        <v>-1.9331327021556051E-4</v>
      </c>
      <c r="H29" s="7">
        <v>8.1630878023370244E-3</v>
      </c>
      <c r="I29" s="7" t="s">
        <v>39</v>
      </c>
      <c r="J29" s="7">
        <v>1</v>
      </c>
      <c r="K29" t="b">
        <v>0</v>
      </c>
      <c r="L29" t="b">
        <v>0</v>
      </c>
    </row>
    <row r="30" spans="1:12" x14ac:dyDescent="0.25">
      <c r="A30" t="s">
        <v>42</v>
      </c>
      <c r="B30" t="s">
        <v>20</v>
      </c>
      <c r="C30">
        <v>60</v>
      </c>
      <c r="D30" s="7">
        <v>3.632674778056779E-3</v>
      </c>
      <c r="E30" s="7">
        <v>0.94383838880580861</v>
      </c>
      <c r="F30" s="7">
        <v>0.34525224007091182</v>
      </c>
      <c r="G30" s="7">
        <v>-3.9108960461250904E-3</v>
      </c>
      <c r="H30" s="7">
        <v>1.1176245602238649E-2</v>
      </c>
      <c r="I30" s="7" t="s">
        <v>41</v>
      </c>
      <c r="J30" s="7">
        <v>1</v>
      </c>
      <c r="K30" t="b">
        <v>0</v>
      </c>
      <c r="L30" t="b">
        <v>0</v>
      </c>
    </row>
    <row r="31" spans="1:12" x14ac:dyDescent="0.25">
      <c r="A31" t="s">
        <v>42</v>
      </c>
      <c r="B31" t="s">
        <v>21</v>
      </c>
      <c r="C31">
        <v>60</v>
      </c>
      <c r="D31" s="7">
        <v>5.9225744011154272E-3</v>
      </c>
      <c r="E31" s="7">
        <v>1.5726632090295061</v>
      </c>
      <c r="F31" s="7">
        <v>0.115796823101362</v>
      </c>
      <c r="G31" s="7">
        <v>-1.458556190162576E-3</v>
      </c>
      <c r="H31" s="7">
        <v>1.3303704992393431E-2</v>
      </c>
      <c r="I31" s="7" t="s">
        <v>39</v>
      </c>
      <c r="J31" s="7">
        <v>1</v>
      </c>
      <c r="K31" t="b">
        <v>0</v>
      </c>
      <c r="L31" t="b">
        <v>0</v>
      </c>
    </row>
    <row r="32" spans="1:12" x14ac:dyDescent="0.25">
      <c r="A32" t="s">
        <v>42</v>
      </c>
      <c r="B32" t="s">
        <v>22</v>
      </c>
      <c r="C32">
        <v>1</v>
      </c>
      <c r="D32" s="7">
        <v>1.866640554014376E-3</v>
      </c>
      <c r="E32" s="7">
        <v>4.3171102094630536</v>
      </c>
      <c r="F32" s="7">
        <v>1.5808523723109001E-5</v>
      </c>
      <c r="G32" s="7">
        <v>1.019187493879248E-3</v>
      </c>
      <c r="H32" s="7">
        <v>2.714093614149505E-3</v>
      </c>
      <c r="I32" s="7" t="s">
        <v>41</v>
      </c>
      <c r="J32" s="7">
        <v>6.3234094892435989E-4</v>
      </c>
      <c r="K32" t="b">
        <v>1</v>
      </c>
      <c r="L32" t="b">
        <v>1</v>
      </c>
    </row>
    <row r="33" spans="1:12" x14ac:dyDescent="0.25">
      <c r="A33" t="s">
        <v>42</v>
      </c>
      <c r="B33" t="s">
        <v>23</v>
      </c>
      <c r="C33">
        <v>1</v>
      </c>
      <c r="D33" s="7">
        <v>-1.0132297187817681E-3</v>
      </c>
      <c r="E33" s="7">
        <v>-2.4771370480986969</v>
      </c>
      <c r="F33" s="7">
        <v>1.324410361484183E-2</v>
      </c>
      <c r="G33" s="7">
        <v>-1.814918813215266E-3</v>
      </c>
      <c r="H33" s="7">
        <v>-2.1154062434826991E-4</v>
      </c>
      <c r="I33" s="7" t="s">
        <v>41</v>
      </c>
      <c r="J33" s="7">
        <v>0.4238113156749384</v>
      </c>
      <c r="K33" t="b">
        <v>1</v>
      </c>
      <c r="L33" t="b">
        <v>0</v>
      </c>
    </row>
    <row r="34" spans="1:12" x14ac:dyDescent="0.25">
      <c r="A34" t="s">
        <v>42</v>
      </c>
      <c r="B34" t="s">
        <v>22</v>
      </c>
      <c r="C34">
        <v>5</v>
      </c>
      <c r="D34" s="7">
        <v>2.5269772238298779E-3</v>
      </c>
      <c r="E34" s="7">
        <v>2.541429474151141</v>
      </c>
      <c r="F34" s="7">
        <v>1.104002164547282E-2</v>
      </c>
      <c r="G34" s="7">
        <v>5.7815889192875574E-4</v>
      </c>
      <c r="H34" s="7">
        <v>4.4757955557309988E-3</v>
      </c>
      <c r="I34" s="7" t="s">
        <v>41</v>
      </c>
      <c r="J34" s="7">
        <v>0.37473380144649948</v>
      </c>
      <c r="K34" t="b">
        <v>1</v>
      </c>
      <c r="L34" t="b">
        <v>0</v>
      </c>
    </row>
    <row r="35" spans="1:12" x14ac:dyDescent="0.25">
      <c r="A35" t="s">
        <v>42</v>
      </c>
      <c r="B35" t="s">
        <v>23</v>
      </c>
      <c r="C35">
        <v>5</v>
      </c>
      <c r="D35" s="7">
        <v>8.0504277228020502E-4</v>
      </c>
      <c r="E35" s="7">
        <v>0.84366730105239085</v>
      </c>
      <c r="F35" s="7">
        <v>0.39885534467633932</v>
      </c>
      <c r="G35" s="7">
        <v>-1.06519071634175E-3</v>
      </c>
      <c r="H35" s="7">
        <v>2.67527626090216E-3</v>
      </c>
      <c r="I35" s="7" t="s">
        <v>39</v>
      </c>
      <c r="J35" s="7">
        <v>1</v>
      </c>
      <c r="K35" t="b">
        <v>0</v>
      </c>
      <c r="L35" t="b">
        <v>0</v>
      </c>
    </row>
    <row r="36" spans="1:12" x14ac:dyDescent="0.25">
      <c r="A36" t="s">
        <v>42</v>
      </c>
      <c r="B36" t="s">
        <v>22</v>
      </c>
      <c r="C36">
        <v>15</v>
      </c>
      <c r="D36" s="7">
        <v>3.6478482439665011E-3</v>
      </c>
      <c r="E36" s="7">
        <v>1.912371618001153</v>
      </c>
      <c r="F36" s="7">
        <v>5.5828545711434682E-2</v>
      </c>
      <c r="G36" s="7">
        <v>-9.0782423808716175E-5</v>
      </c>
      <c r="H36" s="7">
        <v>7.3864789117417187E-3</v>
      </c>
      <c r="I36" s="7" t="s">
        <v>41</v>
      </c>
      <c r="J36" s="7">
        <v>1</v>
      </c>
      <c r="K36" t="b">
        <v>0</v>
      </c>
      <c r="L36" t="b">
        <v>0</v>
      </c>
    </row>
    <row r="37" spans="1:12" x14ac:dyDescent="0.25">
      <c r="A37" t="s">
        <v>42</v>
      </c>
      <c r="B37" t="s">
        <v>23</v>
      </c>
      <c r="C37">
        <v>15</v>
      </c>
      <c r="D37" s="7">
        <v>4.4626606040530058E-3</v>
      </c>
      <c r="E37" s="7">
        <v>2.4344066734001659</v>
      </c>
      <c r="F37" s="7">
        <v>1.491622585029222E-2</v>
      </c>
      <c r="G37" s="7">
        <v>8.6973007410457619E-4</v>
      </c>
      <c r="H37" s="7">
        <v>8.0555911340014358E-3</v>
      </c>
      <c r="I37" s="7" t="s">
        <v>39</v>
      </c>
      <c r="J37" s="7">
        <v>0.44748677550876648</v>
      </c>
      <c r="K37" t="b">
        <v>1</v>
      </c>
      <c r="L37" t="b">
        <v>0</v>
      </c>
    </row>
    <row r="38" spans="1:12" x14ac:dyDescent="0.25">
      <c r="A38" t="s">
        <v>42</v>
      </c>
      <c r="B38" t="s">
        <v>22</v>
      </c>
      <c r="C38">
        <v>30</v>
      </c>
      <c r="D38" s="7">
        <v>5.5104635146175033E-3</v>
      </c>
      <c r="E38" s="7">
        <v>1.759418093762722</v>
      </c>
      <c r="F38" s="7">
        <v>7.8506520896987203E-2</v>
      </c>
      <c r="G38" s="7">
        <v>-6.2810585957517873E-4</v>
      </c>
      <c r="H38" s="7">
        <v>1.1649032888810191E-2</v>
      </c>
      <c r="I38" s="7" t="s">
        <v>41</v>
      </c>
      <c r="J38" s="7">
        <v>1</v>
      </c>
      <c r="K38" t="b">
        <v>0</v>
      </c>
      <c r="L38" t="b">
        <v>0</v>
      </c>
    </row>
    <row r="39" spans="1:12" x14ac:dyDescent="0.25">
      <c r="A39" t="s">
        <v>42</v>
      </c>
      <c r="B39" t="s">
        <v>23</v>
      </c>
      <c r="C39">
        <v>30</v>
      </c>
      <c r="D39" s="7">
        <v>9.7532632902929892E-3</v>
      </c>
      <c r="E39" s="7">
        <v>3.3603673927937079</v>
      </c>
      <c r="F39" s="7">
        <v>7.7838887445859763E-4</v>
      </c>
      <c r="G39" s="7">
        <v>4.0645862659577474E-3</v>
      </c>
      <c r="H39" s="7">
        <v>1.5441940314628229E-2</v>
      </c>
      <c r="I39" s="7" t="s">
        <v>39</v>
      </c>
      <c r="J39" s="7">
        <v>2.9578777229426711E-2</v>
      </c>
      <c r="K39" t="b">
        <v>1</v>
      </c>
      <c r="L39" t="b">
        <v>1</v>
      </c>
    </row>
    <row r="40" spans="1:12" x14ac:dyDescent="0.25">
      <c r="A40" t="s">
        <v>42</v>
      </c>
      <c r="B40" t="s">
        <v>22</v>
      </c>
      <c r="C40">
        <v>60</v>
      </c>
      <c r="D40" s="7">
        <v>1.339387482668988E-2</v>
      </c>
      <c r="E40" s="7">
        <v>2.5420137932587652</v>
      </c>
      <c r="F40" s="7">
        <v>1.102158239548528E-2</v>
      </c>
      <c r="G40" s="7">
        <v>3.0668213923745681E-3</v>
      </c>
      <c r="H40" s="7">
        <v>2.3720928261005199E-2</v>
      </c>
      <c r="I40" s="7" t="s">
        <v>41</v>
      </c>
      <c r="J40" s="7">
        <v>0.37473380144649948</v>
      </c>
      <c r="K40" t="b">
        <v>1</v>
      </c>
      <c r="L40" t="b">
        <v>0</v>
      </c>
    </row>
    <row r="41" spans="1:12" x14ac:dyDescent="0.25">
      <c r="A41" t="s">
        <v>42</v>
      </c>
      <c r="B41" t="s">
        <v>23</v>
      </c>
      <c r="C41">
        <v>60</v>
      </c>
      <c r="D41" s="7">
        <v>1.4184369820823051E-2</v>
      </c>
      <c r="E41" s="7">
        <v>2.874879986059363</v>
      </c>
      <c r="F41" s="7">
        <v>4.0418109721248284E-3</v>
      </c>
      <c r="G41" s="7">
        <v>4.51410388728158E-3</v>
      </c>
      <c r="H41" s="7">
        <v>2.3854635754364511E-2</v>
      </c>
      <c r="I41" s="7" t="s">
        <v>39</v>
      </c>
      <c r="J41" s="7">
        <v>0.141463384024369</v>
      </c>
      <c r="K41" t="b">
        <v>1</v>
      </c>
      <c r="L41" t="b">
        <v>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57F8-DB42-4EDF-BA32-42CC3627B177}">
  <dimension ref="A1:G5"/>
  <sheetViews>
    <sheetView workbookViewId="0">
      <selection activeCell="F11" sqref="F11"/>
    </sheetView>
  </sheetViews>
  <sheetFormatPr defaultRowHeight="15" x14ac:dyDescent="0.25"/>
  <cols>
    <col min="1" max="1" width="33.5703125" customWidth="1"/>
    <col min="2" max="2" width="18.140625" customWidth="1"/>
    <col min="3" max="3" width="9.85546875" customWidth="1"/>
    <col min="4" max="4" width="9.5703125" customWidth="1"/>
    <col min="5" max="5" width="13.42578125" customWidth="1"/>
    <col min="6" max="6" width="15" customWidth="1"/>
    <col min="7" max="7" width="26.7109375" customWidth="1"/>
  </cols>
  <sheetData>
    <row r="1" spans="1:7" ht="15.75" thickBot="1" x14ac:dyDescent="0.3">
      <c r="A1" s="8" t="s">
        <v>0</v>
      </c>
      <c r="B1" s="9" t="s">
        <v>1</v>
      </c>
      <c r="C1" s="16" t="s">
        <v>49</v>
      </c>
      <c r="D1" s="16" t="s">
        <v>51</v>
      </c>
      <c r="E1" t="s">
        <v>46</v>
      </c>
      <c r="F1" t="s">
        <v>47</v>
      </c>
      <c r="G1" t="s">
        <v>48</v>
      </c>
    </row>
    <row r="2" spans="1:7" ht="15.75" thickTop="1" x14ac:dyDescent="0.25">
      <c r="A2" s="11" t="s">
        <v>9</v>
      </c>
      <c r="B2" s="12">
        <v>1</v>
      </c>
      <c r="C2" s="17" t="s">
        <v>50</v>
      </c>
      <c r="D2" s="19">
        <v>28429</v>
      </c>
      <c r="E2">
        <v>56.34</v>
      </c>
      <c r="F2">
        <v>-5631.52</v>
      </c>
      <c r="G2">
        <v>731</v>
      </c>
    </row>
    <row r="3" spans="1:7" x14ac:dyDescent="0.25">
      <c r="A3" s="13" t="s">
        <v>20</v>
      </c>
      <c r="B3" s="10">
        <v>1</v>
      </c>
      <c r="C3" s="18" t="s">
        <v>50</v>
      </c>
      <c r="D3" s="20">
        <v>28429</v>
      </c>
      <c r="E3">
        <v>24.65</v>
      </c>
      <c r="F3">
        <v>-5663.38</v>
      </c>
      <c r="G3">
        <v>56</v>
      </c>
    </row>
    <row r="4" spans="1:7" x14ac:dyDescent="0.25">
      <c r="A4" s="11" t="s">
        <v>22</v>
      </c>
      <c r="B4" s="12">
        <v>1</v>
      </c>
      <c r="C4" s="17" t="s">
        <v>50</v>
      </c>
      <c r="D4" s="17">
        <v>5688</v>
      </c>
      <c r="E4">
        <v>10.1</v>
      </c>
      <c r="F4">
        <v>-1127.5</v>
      </c>
      <c r="G4">
        <v>7</v>
      </c>
    </row>
    <row r="5" spans="1:7" x14ac:dyDescent="0.25">
      <c r="A5" s="14" t="s">
        <v>23</v>
      </c>
      <c r="B5" s="15">
        <v>30</v>
      </c>
      <c r="C5" s="18" t="s">
        <v>50</v>
      </c>
      <c r="D5" s="18">
        <v>5688</v>
      </c>
      <c r="E5">
        <v>40.31</v>
      </c>
      <c r="F5">
        <v>-1097.33</v>
      </c>
      <c r="G5">
        <v>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Statistics (2)</vt:lpstr>
      <vt:lpstr>Sheet2</vt:lpstr>
      <vt:lpstr>Descriptive</vt:lpstr>
      <vt:lpstr>All Results</vt:lpstr>
      <vt:lpstr>Raw Strong Buy</vt:lpstr>
      <vt:lpstr>Raw Very Strong Buy</vt:lpstr>
      <vt:lpstr>Raw Strong Sell</vt:lpstr>
      <vt:lpstr>Raw Very Strong Sell</vt:lpstr>
      <vt:lpstr>Normalised Strong Buy</vt:lpstr>
      <vt:lpstr>Normalised Strong Sell</vt:lpstr>
      <vt:lpstr>Normalised Very Buy</vt:lpstr>
      <vt:lpstr>Normalised Very Sell</vt:lpstr>
      <vt:lpstr>Correlations</vt:lpstr>
      <vt:lpstr>Statistics</vt:lpstr>
      <vt:lpstr>Economic </vt:lpstr>
      <vt:lpstr>Economic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 leach</cp:lastModifiedBy>
  <dcterms:created xsi:type="dcterms:W3CDTF">2026-08-19T14:25:43Z</dcterms:created>
  <dcterms:modified xsi:type="dcterms:W3CDTF">2026-08-28T15:18:13Z</dcterms:modified>
</cp:coreProperties>
</file>